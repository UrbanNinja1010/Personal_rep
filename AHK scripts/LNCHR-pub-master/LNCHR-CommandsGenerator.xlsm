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C:\Users\mende\Documents\Programming\ahk\Personal_rep\AHK scripts\LNCHR-pub-master\"/>
    </mc:Choice>
  </mc:AlternateContent>
  <xr:revisionPtr revIDLastSave="0" documentId="13_ncr:1_{2B876FE9-861C-4384-AE63-186348FBFE46}" xr6:coauthVersionLast="47" xr6:coauthVersionMax="47" xr10:uidLastSave="{00000000-0000-0000-0000-000000000000}"/>
  <bookViews>
    <workbookView xWindow="-120" yWindow="-120" windowWidth="38640" windowHeight="21120" xr2:uid="{00000000-000D-0000-FFFF-FFFF00000000}"/>
  </bookViews>
  <sheets>
    <sheet name="Shortcuts" sheetId="1" r:id="rId1"/>
    <sheet name="Edge profiles" sheetId="3" r:id="rId2"/>
    <sheet name="sorted keys" sheetId="4" r:id="rId3"/>
    <sheet name="Help" sheetId="2" r:id="rId4"/>
  </sheets>
  <functionGroups builtInGroupCount="19"/>
  <definedNames>
    <definedName name="_xlnm._FilterDatabase" localSheetId="0" hidden="1">Shortcuts!$A$3:$H$77</definedName>
    <definedName name="_xlpm.r" hidden="1" xlm="1">#NAME?</definedName>
    <definedName name="_xlpm.ro" hidden="1" xlm="1">#NAME?</definedName>
    <definedName name="_xlpm.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a="1"/>
  <c r="B2" i="1" s="1"/>
  <c r="B1" i="1" a="1"/>
  <c r="B1" i="1" s="1"/>
  <c r="B47" i="1"/>
  <c r="B14" i="1"/>
  <c r="B61" i="1"/>
  <c r="B80" i="1"/>
  <c r="B79" i="1"/>
  <c r="B8" i="1"/>
  <c r="B3" i="4" a="1"/>
  <c r="B3" i="4" s="1"/>
  <c r="B6" i="1"/>
  <c r="B29" i="1"/>
  <c r="B28" i="1"/>
  <c r="B13" i="1"/>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C7" i="3" a="1"/>
  <c r="C7" i="3" s="1"/>
  <c r="D7" i="3" a="1"/>
  <c r="D7" i="3" s="1"/>
  <c r="C10" i="3" a="1"/>
  <c r="C10" i="3" s="1"/>
  <c r="D10" i="3" a="1"/>
  <c r="D10" i="3" s="1"/>
  <c r="C13" i="3" a="1"/>
  <c r="C13" i="3" s="1"/>
  <c r="D13" i="3" a="1"/>
  <c r="D13" i="3" s="1"/>
  <c r="C16" i="3" a="1"/>
  <c r="C16" i="3" s="1"/>
  <c r="D16" i="3" a="1"/>
  <c r="D16" i="3" s="1"/>
  <c r="C19" i="3" a="1"/>
  <c r="C19" i="3" s="1"/>
  <c r="D19" i="3" a="1"/>
  <c r="D19" i="3" s="1"/>
  <c r="C22" i="3" a="1"/>
  <c r="C22" i="3" s="1"/>
  <c r="D22" i="3" a="1"/>
  <c r="D22" i="3" s="1"/>
  <c r="C25" i="3" a="1"/>
  <c r="C25" i="3" s="1"/>
  <c r="D25" i="3" a="1"/>
  <c r="D25" i="3" s="1"/>
  <c r="C28" i="3" a="1"/>
  <c r="C28" i="3" s="1"/>
  <c r="D28" i="3" a="1"/>
  <c r="D28" i="3" s="1"/>
  <c r="C31" i="3" a="1"/>
  <c r="C31" i="3" s="1"/>
  <c r="D31" i="3" a="1"/>
  <c r="D31" i="3" s="1"/>
  <c r="C34" i="3" a="1"/>
  <c r="C34" i="3" s="1"/>
  <c r="D34" i="3" a="1"/>
  <c r="D34" i="3" s="1"/>
  <c r="C37" i="3" a="1"/>
  <c r="C37" i="3" s="1"/>
  <c r="D37" i="3" a="1"/>
  <c r="D37" i="3" s="1"/>
  <c r="C40" i="3" a="1"/>
  <c r="C40" i="3" s="1"/>
  <c r="D40" i="3" a="1"/>
  <c r="D40" i="3" s="1"/>
  <c r="C43" i="3" a="1"/>
  <c r="C43" i="3" s="1"/>
  <c r="D43" i="3" a="1"/>
  <c r="D43" i="3" s="1"/>
  <c r="C46" i="3" a="1"/>
  <c r="C46" i="3" s="1"/>
  <c r="D46" i="3" a="1"/>
  <c r="D46" i="3" s="1"/>
  <c r="C49" i="3" a="1"/>
  <c r="C49" i="3" s="1"/>
  <c r="D49" i="3" a="1"/>
  <c r="D49" i="3" s="1"/>
  <c r="C52" i="3" a="1"/>
  <c r="C52" i="3" s="1"/>
  <c r="D52" i="3" a="1"/>
  <c r="D52" i="3" s="1"/>
  <c r="C55" i="3" a="1"/>
  <c r="C55" i="3" s="1"/>
  <c r="D55" i="3" a="1"/>
  <c r="D55" i="3" s="1"/>
  <c r="C58" i="3" a="1"/>
  <c r="C58" i="3" s="1"/>
  <c r="D58" i="3" a="1"/>
  <c r="D58" i="3" s="1"/>
  <c r="C61" i="3" a="1"/>
  <c r="C61" i="3" s="1"/>
  <c r="D61" i="3" a="1"/>
  <c r="D61" i="3" s="1"/>
  <c r="C64" i="3" a="1"/>
  <c r="C64" i="3" s="1"/>
  <c r="D64" i="3" a="1"/>
  <c r="D64" i="3" s="1"/>
  <c r="C67" i="3" a="1"/>
  <c r="C67" i="3" s="1"/>
  <c r="D67" i="3" a="1"/>
  <c r="D67" i="3" s="1"/>
  <c r="C70" i="3" a="1"/>
  <c r="C70" i="3" s="1"/>
  <c r="D70" i="3" a="1"/>
  <c r="D70" i="3" s="1"/>
  <c r="C73" i="3" a="1"/>
  <c r="C73" i="3" s="1"/>
  <c r="D73" i="3" a="1"/>
  <c r="D73" i="3" s="1"/>
  <c r="C76" i="3" a="1"/>
  <c r="C76" i="3" s="1"/>
  <c r="D76" i="3" a="1"/>
  <c r="D76" i="3" s="1"/>
  <c r="C79" i="3" a="1"/>
  <c r="C79" i="3" s="1"/>
  <c r="D79" i="3" a="1"/>
  <c r="D79" i="3" s="1"/>
  <c r="C82" i="3" a="1"/>
  <c r="C82" i="3" s="1"/>
  <c r="D82" i="3" a="1"/>
  <c r="D82" i="3" s="1"/>
  <c r="C85" i="3" a="1"/>
  <c r="C85" i="3" s="1"/>
  <c r="D85" i="3" a="1"/>
  <c r="D85" i="3" s="1"/>
  <c r="C88" i="3" a="1"/>
  <c r="C88" i="3" s="1"/>
  <c r="D88" i="3" a="1"/>
  <c r="D88" i="3" s="1"/>
  <c r="C91" i="3" a="1"/>
  <c r="C91" i="3" s="1"/>
  <c r="D91" i="3" a="1"/>
  <c r="D91" i="3" s="1"/>
  <c r="C94" i="3" a="1"/>
  <c r="C94" i="3" s="1"/>
  <c r="D94" i="3" a="1"/>
  <c r="D94" i="3" s="1"/>
  <c r="C97" i="3" a="1"/>
  <c r="C97" i="3" s="1"/>
  <c r="D97" i="3" a="1"/>
  <c r="D97" i="3" s="1"/>
  <c r="C100" i="3" a="1"/>
  <c r="C100" i="3" s="1"/>
  <c r="D100" i="3" a="1"/>
  <c r="D100" i="3" s="1"/>
  <c r="C103" i="3" a="1"/>
  <c r="C103" i="3" s="1"/>
  <c r="D103" i="3" a="1"/>
  <c r="D103" i="3" s="1"/>
  <c r="C106" i="3" a="1"/>
  <c r="C106" i="3" s="1"/>
  <c r="D106" i="3" a="1"/>
  <c r="D106" i="3" s="1"/>
  <c r="C109" i="3" a="1"/>
  <c r="C109" i="3" s="1"/>
  <c r="D109" i="3" a="1"/>
  <c r="D109" i="3" s="1"/>
  <c r="C112" i="3" a="1"/>
  <c r="C112" i="3" s="1"/>
  <c r="D112" i="3" a="1"/>
  <c r="D112" i="3" s="1"/>
  <c r="C115" i="3" a="1"/>
  <c r="C115" i="3" s="1"/>
  <c r="D115" i="3" a="1"/>
  <c r="D115" i="3" s="1"/>
  <c r="C118" i="3" a="1"/>
  <c r="C118" i="3" s="1"/>
  <c r="D118" i="3" a="1"/>
  <c r="D118" i="3" s="1"/>
  <c r="C121" i="3" a="1"/>
  <c r="C121" i="3" s="1"/>
  <c r="D121" i="3" a="1"/>
  <c r="D121" i="3" s="1"/>
  <c r="C124" i="3" a="1"/>
  <c r="C124" i="3" s="1"/>
  <c r="D124" i="3" a="1"/>
  <c r="D124" i="3" s="1"/>
  <c r="C127" i="3" a="1"/>
  <c r="C127" i="3" s="1"/>
  <c r="D127" i="3" a="1"/>
  <c r="D127" i="3" s="1"/>
  <c r="C130" i="3" a="1"/>
  <c r="C130" i="3" s="1"/>
  <c r="D130" i="3" a="1"/>
  <c r="D130" i="3" s="1"/>
  <c r="C133" i="3" a="1"/>
  <c r="C133" i="3" s="1"/>
  <c r="D133" i="3" a="1"/>
  <c r="D133" i="3" s="1"/>
  <c r="C136" i="3" a="1"/>
  <c r="C136" i="3" s="1"/>
  <c r="D136" i="3" a="1"/>
  <c r="D136" i="3" s="1"/>
  <c r="C139" i="3" a="1"/>
  <c r="C139" i="3" s="1"/>
  <c r="D139" i="3" a="1"/>
  <c r="D139" i="3" s="1"/>
  <c r="C142" i="3" a="1"/>
  <c r="C142" i="3" s="1"/>
  <c r="D142" i="3" a="1"/>
  <c r="D142" i="3" s="1"/>
  <c r="C145" i="3" a="1"/>
  <c r="C145" i="3" s="1"/>
  <c r="D145" i="3" a="1"/>
  <c r="D145" i="3" s="1"/>
  <c r="C148" i="3" a="1"/>
  <c r="C148" i="3" s="1"/>
  <c r="D148" i="3" a="1"/>
  <c r="D148" i="3" s="1"/>
  <c r="C151" i="3" a="1"/>
  <c r="C151" i="3" s="1"/>
  <c r="D151" i="3" a="1"/>
  <c r="D151" i="3" s="1"/>
  <c r="C154" i="3" a="1"/>
  <c r="C154" i="3" s="1"/>
  <c r="D154" i="3" a="1"/>
  <c r="D154" i="3" s="1"/>
  <c r="C157" i="3" a="1"/>
  <c r="C157" i="3" s="1"/>
  <c r="D157" i="3" a="1"/>
  <c r="D157" i="3" s="1"/>
  <c r="C160" i="3" a="1"/>
  <c r="C160" i="3" s="1"/>
  <c r="D160" i="3" a="1"/>
  <c r="D160" i="3" s="1"/>
  <c r="C163" i="3" a="1"/>
  <c r="C163" i="3" s="1"/>
  <c r="D163" i="3" a="1"/>
  <c r="D163" i="3" s="1"/>
  <c r="C166" i="3" a="1"/>
  <c r="C166" i="3" s="1"/>
  <c r="D166" i="3" a="1"/>
  <c r="D166" i="3" s="1"/>
  <c r="C169" i="3" a="1"/>
  <c r="C169" i="3" s="1"/>
  <c r="D169" i="3" a="1"/>
  <c r="D169" i="3" s="1"/>
  <c r="C172" i="3" a="1"/>
  <c r="C172" i="3" s="1"/>
  <c r="D172" i="3" a="1"/>
  <c r="D172" i="3" s="1"/>
  <c r="C175" i="3" a="1"/>
  <c r="C175" i="3" s="1"/>
  <c r="D175" i="3" a="1"/>
  <c r="D175" i="3" s="1"/>
  <c r="C178" i="3" a="1"/>
  <c r="C178" i="3" s="1"/>
  <c r="D178" i="3" a="1"/>
  <c r="D178" i="3" s="1"/>
  <c r="C181" i="3" a="1"/>
  <c r="C181" i="3" s="1"/>
  <c r="D181" i="3" a="1"/>
  <c r="D181" i="3" s="1"/>
  <c r="C184" i="3" a="1"/>
  <c r="C184" i="3" s="1"/>
  <c r="D184" i="3" a="1"/>
  <c r="D184" i="3" s="1"/>
  <c r="C187" i="3" a="1"/>
  <c r="C187" i="3" s="1"/>
  <c r="D187" i="3" a="1"/>
  <c r="D187" i="3" s="1"/>
  <c r="C190" i="3" a="1"/>
  <c r="C190" i="3" s="1"/>
  <c r="D190" i="3" a="1"/>
  <c r="D190" i="3" s="1"/>
  <c r="C193" i="3" a="1"/>
  <c r="C193" i="3" s="1"/>
  <c r="D193" i="3" a="1"/>
  <c r="D193" i="3" s="1"/>
  <c r="C196" i="3" a="1"/>
  <c r="C196" i="3" s="1"/>
  <c r="D196" i="3" a="1"/>
  <c r="D196" i="3" s="1"/>
  <c r="C199" i="3" a="1"/>
  <c r="C199" i="3" s="1"/>
  <c r="D199" i="3" a="1"/>
  <c r="D199" i="3" s="1"/>
  <c r="C202" i="3" a="1"/>
  <c r="C202" i="3" s="1"/>
  <c r="D202" i="3" a="1"/>
  <c r="D202" i="3" s="1"/>
  <c r="C205" i="3" a="1"/>
  <c r="C205" i="3" s="1"/>
  <c r="D205" i="3" a="1"/>
  <c r="D205" i="3" s="1"/>
  <c r="C208" i="3" a="1"/>
  <c r="C208" i="3" s="1"/>
  <c r="D208" i="3" a="1"/>
  <c r="D208" i="3" s="1"/>
  <c r="C211" i="3" a="1"/>
  <c r="C211" i="3" s="1"/>
  <c r="D211" i="3" a="1"/>
  <c r="D211" i="3" s="1"/>
  <c r="C214" i="3" a="1"/>
  <c r="C214" i="3" s="1"/>
  <c r="D214" i="3" a="1"/>
  <c r="D214" i="3" s="1"/>
  <c r="C217" i="3" a="1"/>
  <c r="C217" i="3" s="1"/>
  <c r="D217" i="3" a="1"/>
  <c r="D217" i="3" s="1"/>
  <c r="C220" i="3" a="1"/>
  <c r="C220" i="3" s="1"/>
  <c r="D220" i="3" a="1"/>
  <c r="D220" i="3" s="1"/>
  <c r="C223" i="3" a="1"/>
  <c r="C223" i="3" s="1"/>
  <c r="D223" i="3" a="1"/>
  <c r="D223" i="3" s="1"/>
  <c r="C226" i="3" a="1"/>
  <c r="C226" i="3" s="1"/>
  <c r="D226" i="3" a="1"/>
  <c r="D226" i="3" s="1"/>
  <c r="C229" i="3" a="1"/>
  <c r="C229" i="3" s="1"/>
  <c r="D229" i="3" a="1"/>
  <c r="D229" i="3" s="1"/>
  <c r="C232" i="3" a="1"/>
  <c r="C232" i="3" s="1"/>
  <c r="D232" i="3" a="1"/>
  <c r="D232" i="3" s="1"/>
  <c r="C235" i="3" a="1"/>
  <c r="C235" i="3" s="1"/>
  <c r="D235" i="3" a="1"/>
  <c r="D235" i="3" s="1"/>
  <c r="C238" i="3" a="1"/>
  <c r="C238" i="3" s="1"/>
  <c r="D238" i="3" a="1"/>
  <c r="D238" i="3" s="1"/>
  <c r="C241" i="3" a="1"/>
  <c r="C241" i="3" s="1"/>
  <c r="D241" i="3" a="1"/>
  <c r="D241" i="3" s="1"/>
  <c r="C244" i="3" a="1"/>
  <c r="C244" i="3" s="1"/>
  <c r="D244" i="3" a="1"/>
  <c r="D244" i="3" s="1"/>
  <c r="C247" i="3" a="1"/>
  <c r="C247" i="3" s="1"/>
  <c r="D247" i="3" a="1"/>
  <c r="D247" i="3" s="1"/>
  <c r="C250" i="3" a="1"/>
  <c r="C250" i="3" s="1"/>
  <c r="D250" i="3" a="1"/>
  <c r="D250" i="3" s="1"/>
  <c r="C253" i="3" a="1"/>
  <c r="C253" i="3" s="1"/>
  <c r="D253" i="3" a="1"/>
  <c r="D253" i="3" s="1"/>
  <c r="C256" i="3" a="1"/>
  <c r="C256" i="3" s="1"/>
  <c r="D256" i="3" a="1"/>
  <c r="D256" i="3" s="1"/>
  <c r="C259" i="3" a="1"/>
  <c r="C259" i="3" s="1"/>
  <c r="D259" i="3" a="1"/>
  <c r="D259" i="3" s="1"/>
  <c r="C262" i="3" a="1"/>
  <c r="C262" i="3" s="1"/>
  <c r="D262" i="3" a="1"/>
  <c r="D262" i="3" s="1"/>
  <c r="C265" i="3" a="1"/>
  <c r="C265" i="3" s="1"/>
  <c r="D265" i="3" a="1"/>
  <c r="D265" i="3" s="1"/>
  <c r="C268" i="3" a="1"/>
  <c r="C268" i="3" s="1"/>
  <c r="D268" i="3" a="1"/>
  <c r="D268" i="3" s="1"/>
  <c r="C271" i="3" a="1"/>
  <c r="C271" i="3" s="1"/>
  <c r="D271" i="3" a="1"/>
  <c r="D271" i="3" s="1"/>
  <c r="C274" i="3" a="1"/>
  <c r="C274" i="3" s="1"/>
  <c r="D274" i="3" a="1"/>
  <c r="D274" i="3" s="1"/>
  <c r="C277" i="3" a="1"/>
  <c r="C277" i="3" s="1"/>
  <c r="D277" i="3" a="1"/>
  <c r="D277" i="3" s="1"/>
  <c r="C280" i="3" a="1"/>
  <c r="C280" i="3" s="1"/>
  <c r="D280" i="3" a="1"/>
  <c r="D280" i="3" s="1"/>
  <c r="C283" i="3" a="1"/>
  <c r="C283" i="3" s="1"/>
  <c r="D283" i="3" a="1"/>
  <c r="D283" i="3" s="1"/>
  <c r="C286" i="3" a="1"/>
  <c r="C286" i="3" s="1"/>
  <c r="D286" i="3" a="1"/>
  <c r="D286" i="3" s="1"/>
  <c r="C289" i="3" a="1"/>
  <c r="C289" i="3" s="1"/>
  <c r="D289" i="3" a="1"/>
  <c r="D289" i="3" s="1"/>
  <c r="C292" i="3" a="1"/>
  <c r="C292" i="3" s="1"/>
  <c r="D292" i="3" a="1"/>
  <c r="D292" i="3" s="1"/>
  <c r="C295" i="3" a="1"/>
  <c r="C295" i="3" s="1"/>
  <c r="D295" i="3" a="1"/>
  <c r="D295" i="3" s="1"/>
  <c r="C298" i="3" a="1"/>
  <c r="C298" i="3" s="1"/>
  <c r="D298" i="3" a="1"/>
  <c r="D298" i="3" s="1"/>
  <c r="C301" i="3" a="1"/>
  <c r="C301" i="3" s="1"/>
  <c r="D301" i="3" a="1"/>
  <c r="D301" i="3" s="1"/>
  <c r="C304" i="3" a="1"/>
  <c r="C304" i="3" s="1"/>
  <c r="D304" i="3" a="1"/>
  <c r="D304" i="3" s="1"/>
  <c r="C307" i="3" a="1"/>
  <c r="C307" i="3" s="1"/>
  <c r="D307" i="3" a="1"/>
  <c r="D307" i="3" s="1"/>
  <c r="C310" i="3" a="1"/>
  <c r="C310" i="3" s="1"/>
  <c r="D310" i="3" a="1"/>
  <c r="D310" i="3" s="1"/>
  <c r="C313" i="3" a="1"/>
  <c r="C313" i="3" s="1"/>
  <c r="D313" i="3" a="1"/>
  <c r="D313" i="3" s="1"/>
  <c r="C316" i="3" a="1"/>
  <c r="C316" i="3" s="1"/>
  <c r="D316" i="3" a="1"/>
  <c r="D316" i="3" s="1"/>
  <c r="C319" i="3" a="1"/>
  <c r="C319" i="3" s="1"/>
  <c r="D319" i="3" a="1"/>
  <c r="D319" i="3" s="1"/>
  <c r="C322" i="3" a="1"/>
  <c r="C322" i="3" s="1"/>
  <c r="D322" i="3" a="1"/>
  <c r="D322" i="3" s="1"/>
  <c r="C325" i="3" a="1"/>
  <c r="C325" i="3" s="1"/>
  <c r="D325" i="3" a="1"/>
  <c r="D325" i="3" s="1"/>
  <c r="C328" i="3" a="1"/>
  <c r="C328" i="3" s="1"/>
  <c r="D328" i="3" a="1"/>
  <c r="D328" i="3" s="1"/>
  <c r="C331" i="3" a="1"/>
  <c r="C331" i="3" s="1"/>
  <c r="D331" i="3" a="1"/>
  <c r="D331" i="3" s="1"/>
  <c r="C334" i="3" a="1"/>
  <c r="C334" i="3" s="1"/>
  <c r="D334" i="3" a="1"/>
  <c r="D334" i="3" s="1"/>
  <c r="C337" i="3" a="1"/>
  <c r="C337" i="3" s="1"/>
  <c r="D337" i="3" a="1"/>
  <c r="D337" i="3" s="1"/>
  <c r="C340" i="3" a="1"/>
  <c r="C340" i="3" s="1"/>
  <c r="D340" i="3" a="1"/>
  <c r="D340" i="3" s="1"/>
  <c r="C343" i="3" a="1"/>
  <c r="C343" i="3" s="1"/>
  <c r="D343" i="3" a="1"/>
  <c r="D343" i="3" s="1"/>
  <c r="C346" i="3" a="1"/>
  <c r="C346" i="3" s="1"/>
  <c r="D346" i="3" a="1"/>
  <c r="D346" i="3" s="1"/>
  <c r="C349" i="3" a="1"/>
  <c r="C349" i="3" s="1"/>
  <c r="D349" i="3" a="1"/>
  <c r="D349" i="3" s="1"/>
  <c r="C352" i="3" a="1"/>
  <c r="C352" i="3" s="1"/>
  <c r="D352" i="3" a="1"/>
  <c r="D352" i="3" s="1"/>
  <c r="C355" i="3" a="1"/>
  <c r="C355" i="3" s="1"/>
  <c r="D355" i="3" a="1"/>
  <c r="D355" i="3" s="1"/>
  <c r="C358" i="3" a="1"/>
  <c r="C358" i="3" s="1"/>
  <c r="D358" i="3" a="1"/>
  <c r="D358" i="3" s="1"/>
  <c r="C361" i="3" a="1"/>
  <c r="C361" i="3" s="1"/>
  <c r="D361" i="3" a="1"/>
  <c r="D361" i="3" s="1"/>
  <c r="C364" i="3" a="1"/>
  <c r="C364" i="3" s="1"/>
  <c r="D364" i="3" a="1"/>
  <c r="D364" i="3" s="1"/>
  <c r="C367" i="3" a="1"/>
  <c r="C367" i="3" s="1"/>
  <c r="D367" i="3" a="1"/>
  <c r="D367" i="3" s="1"/>
  <c r="C370" i="3" a="1"/>
  <c r="C370" i="3" s="1"/>
  <c r="D370" i="3" a="1"/>
  <c r="D370" i="3" s="1"/>
  <c r="C373" i="3" a="1"/>
  <c r="C373" i="3" s="1"/>
  <c r="D373" i="3" a="1"/>
  <c r="D373" i="3" s="1"/>
  <c r="C376" i="3" a="1"/>
  <c r="C376" i="3" s="1"/>
  <c r="D376" i="3" a="1"/>
  <c r="D376" i="3" s="1"/>
  <c r="C379" i="3" a="1"/>
  <c r="C379" i="3" s="1"/>
  <c r="D379" i="3" a="1"/>
  <c r="D379" i="3" s="1"/>
  <c r="C382" i="3" a="1"/>
  <c r="C382" i="3" s="1"/>
  <c r="D382" i="3" a="1"/>
  <c r="D382" i="3" s="1"/>
  <c r="C385" i="3" a="1"/>
  <c r="C385" i="3" s="1"/>
  <c r="D385" i="3" a="1"/>
  <c r="D385" i="3" s="1"/>
  <c r="C388" i="3" a="1"/>
  <c r="C388" i="3" s="1"/>
  <c r="D388" i="3" a="1"/>
  <c r="D388" i="3" s="1"/>
  <c r="C391" i="3" a="1"/>
  <c r="C391" i="3" s="1"/>
  <c r="D391" i="3" a="1"/>
  <c r="D391" i="3" s="1"/>
  <c r="C394" i="3" a="1"/>
  <c r="C394" i="3" s="1"/>
  <c r="D394" i="3" a="1"/>
  <c r="D394" i="3" s="1"/>
  <c r="C397" i="3" a="1"/>
  <c r="C397" i="3" s="1"/>
  <c r="D397" i="3" a="1"/>
  <c r="D397" i="3" s="1"/>
  <c r="C400" i="3" a="1"/>
  <c r="C400" i="3" s="1"/>
  <c r="D400" i="3" a="1"/>
  <c r="D400" i="3" s="1"/>
  <c r="C403" i="3" a="1"/>
  <c r="C403" i="3" s="1"/>
  <c r="D403" i="3" a="1"/>
  <c r="D403" i="3" s="1"/>
  <c r="C406" i="3" a="1"/>
  <c r="C406" i="3" s="1"/>
  <c r="D406" i="3" a="1"/>
  <c r="D406" i="3" s="1"/>
  <c r="C409" i="3" a="1"/>
  <c r="C409" i="3" s="1"/>
  <c r="D409" i="3" a="1"/>
  <c r="D409" i="3" s="1"/>
  <c r="C412" i="3" a="1"/>
  <c r="C412" i="3" s="1"/>
  <c r="D412" i="3" a="1"/>
  <c r="D412" i="3" s="1"/>
  <c r="C415" i="3" a="1"/>
  <c r="C415" i="3" s="1"/>
  <c r="D415" i="3" a="1"/>
  <c r="D415" i="3" s="1"/>
  <c r="C418" i="3" a="1"/>
  <c r="C418" i="3" s="1"/>
  <c r="D418" i="3" a="1"/>
  <c r="D418" i="3" s="1"/>
  <c r="C421" i="3" a="1"/>
  <c r="C421" i="3" s="1"/>
  <c r="D421" i="3" a="1"/>
  <c r="D421" i="3" s="1"/>
  <c r="C424" i="3" a="1"/>
  <c r="C424" i="3" s="1"/>
  <c r="D424" i="3" a="1"/>
  <c r="D424" i="3" s="1"/>
  <c r="C427" i="3" a="1"/>
  <c r="C427" i="3" s="1"/>
  <c r="D427" i="3" a="1"/>
  <c r="D427" i="3" s="1"/>
  <c r="C430" i="3" a="1"/>
  <c r="C430" i="3" s="1"/>
  <c r="D430" i="3" a="1"/>
  <c r="D430" i="3" s="1"/>
  <c r="C433" i="3" a="1"/>
  <c r="C433" i="3" s="1"/>
  <c r="D433" i="3" a="1"/>
  <c r="D433" i="3" s="1"/>
  <c r="C436" i="3" a="1"/>
  <c r="C436" i="3" s="1"/>
  <c r="D436" i="3" a="1"/>
  <c r="D436" i="3" s="1"/>
  <c r="C439" i="3" a="1"/>
  <c r="C439" i="3" s="1"/>
  <c r="D439" i="3" a="1"/>
  <c r="D439" i="3" s="1"/>
  <c r="C442" i="3" a="1"/>
  <c r="C442" i="3" s="1"/>
  <c r="D442" i="3" a="1"/>
  <c r="D442" i="3" s="1"/>
  <c r="C445" i="3" a="1"/>
  <c r="C445" i="3" s="1"/>
  <c r="D445" i="3" a="1"/>
  <c r="D445" i="3" s="1"/>
  <c r="C448" i="3" a="1"/>
  <c r="C448" i="3" s="1"/>
  <c r="D448" i="3" a="1"/>
  <c r="D448" i="3" s="1"/>
  <c r="C451" i="3" a="1"/>
  <c r="C451" i="3" s="1"/>
  <c r="D451" i="3" a="1"/>
  <c r="D451" i="3" s="1"/>
  <c r="C454" i="3" a="1"/>
  <c r="C454" i="3" s="1"/>
  <c r="D454" i="3" a="1"/>
  <c r="D454" i="3" s="1"/>
  <c r="C457" i="3" a="1"/>
  <c r="C457" i="3" s="1"/>
  <c r="D457" i="3" a="1"/>
  <c r="D457" i="3" s="1"/>
  <c r="C460" i="3" a="1"/>
  <c r="C460" i="3" s="1"/>
  <c r="D460" i="3" a="1"/>
  <c r="D460" i="3" s="1"/>
  <c r="C463" i="3" a="1"/>
  <c r="C463" i="3" s="1"/>
  <c r="D463" i="3" a="1"/>
  <c r="D463" i="3" s="1"/>
  <c r="C466" i="3" a="1"/>
  <c r="C466" i="3" s="1"/>
  <c r="D466" i="3" a="1"/>
  <c r="D466" i="3" s="1"/>
  <c r="C469" i="3" a="1"/>
  <c r="C469" i="3" s="1"/>
  <c r="D469" i="3" a="1"/>
  <c r="D469" i="3" s="1"/>
  <c r="C472" i="3" a="1"/>
  <c r="C472" i="3" s="1"/>
  <c r="D472" i="3" a="1"/>
  <c r="D472" i="3" s="1"/>
  <c r="C475" i="3" a="1"/>
  <c r="C475" i="3" s="1"/>
  <c r="D475" i="3" a="1"/>
  <c r="D475" i="3" s="1"/>
  <c r="C478" i="3" a="1"/>
  <c r="C478" i="3" s="1"/>
  <c r="D478" i="3" a="1"/>
  <c r="D478" i="3" s="1"/>
  <c r="C481" i="3" a="1"/>
  <c r="C481" i="3" s="1"/>
  <c r="D481" i="3" a="1"/>
  <c r="D481" i="3" s="1"/>
  <c r="C484" i="3" a="1"/>
  <c r="C484" i="3" s="1"/>
  <c r="D484" i="3" a="1"/>
  <c r="D484" i="3" s="1"/>
  <c r="C487" i="3" a="1"/>
  <c r="C487" i="3" s="1"/>
  <c r="D487" i="3" a="1"/>
  <c r="D487" i="3" s="1"/>
  <c r="C490" i="3" a="1"/>
  <c r="C490" i="3" s="1"/>
  <c r="D490" i="3" a="1"/>
  <c r="D490" i="3" s="1"/>
  <c r="C493" i="3" a="1"/>
  <c r="C493" i="3" s="1"/>
  <c r="D493" i="3" a="1"/>
  <c r="D493" i="3" s="1"/>
  <c r="C496" i="3" a="1"/>
  <c r="C496" i="3" s="1"/>
  <c r="D496" i="3" a="1"/>
  <c r="D496" i="3" s="1"/>
  <c r="C499" i="3" a="1"/>
  <c r="C499" i="3" s="1"/>
  <c r="D499" i="3" a="1"/>
  <c r="D499" i="3" s="1"/>
  <c r="C502" i="3" a="1"/>
  <c r="C502" i="3" s="1"/>
  <c r="D502" i="3" a="1"/>
  <c r="D502" i="3" s="1"/>
  <c r="C505" i="3" a="1"/>
  <c r="C505" i="3" s="1"/>
  <c r="D505" i="3" a="1"/>
  <c r="D505" i="3" s="1"/>
  <c r="C508" i="3" a="1"/>
  <c r="C508" i="3" s="1"/>
  <c r="D508" i="3" a="1"/>
  <c r="D508" i="3" s="1"/>
  <c r="C511" i="3" a="1"/>
  <c r="C511" i="3" s="1"/>
  <c r="D511" i="3" a="1"/>
  <c r="D511" i="3" s="1"/>
  <c r="C514" i="3" a="1"/>
  <c r="C514" i="3" s="1"/>
  <c r="D514" i="3" a="1"/>
  <c r="D514" i="3" s="1"/>
  <c r="C517" i="3" a="1"/>
  <c r="C517" i="3" s="1"/>
  <c r="D517" i="3" a="1"/>
  <c r="D517" i="3" s="1"/>
  <c r="C520" i="3" a="1"/>
  <c r="C520" i="3" s="1"/>
  <c r="D520" i="3" a="1"/>
  <c r="D520" i="3" s="1"/>
  <c r="C523" i="3" a="1"/>
  <c r="C523" i="3" s="1"/>
  <c r="D523" i="3" a="1"/>
  <c r="D523" i="3" s="1"/>
  <c r="C526" i="3" a="1"/>
  <c r="C526" i="3" s="1"/>
  <c r="D526" i="3" a="1"/>
  <c r="D526" i="3" s="1"/>
  <c r="C529" i="3" a="1"/>
  <c r="C529" i="3" s="1"/>
  <c r="D529" i="3" a="1"/>
  <c r="D529" i="3" s="1"/>
  <c r="C532" i="3" a="1"/>
  <c r="C532" i="3" s="1"/>
  <c r="D532" i="3" a="1"/>
  <c r="D532" i="3" s="1"/>
  <c r="C535" i="3" a="1"/>
  <c r="C535" i="3" s="1"/>
  <c r="D535" i="3" a="1"/>
  <c r="D535" i="3" s="1"/>
  <c r="C538" i="3" a="1"/>
  <c r="C538" i="3" s="1"/>
  <c r="D538" i="3" a="1"/>
  <c r="D538" i="3" s="1"/>
  <c r="C541" i="3" a="1"/>
  <c r="C541" i="3" s="1"/>
  <c r="D541" i="3" a="1"/>
  <c r="D541" i="3" s="1"/>
  <c r="C544" i="3" a="1"/>
  <c r="C544" i="3" s="1"/>
  <c r="D544" i="3" a="1"/>
  <c r="D544" i="3" s="1"/>
  <c r="C547" i="3" a="1"/>
  <c r="C547" i="3" s="1"/>
  <c r="D547" i="3" a="1"/>
  <c r="D547" i="3" s="1"/>
  <c r="C550" i="3" a="1"/>
  <c r="C550" i="3" s="1"/>
  <c r="D550" i="3" a="1"/>
  <c r="D550" i="3" s="1"/>
  <c r="C553" i="3" a="1"/>
  <c r="C553" i="3" s="1"/>
  <c r="D553" i="3" a="1"/>
  <c r="D553" i="3" s="1"/>
  <c r="C556" i="3" a="1"/>
  <c r="C556" i="3" s="1"/>
  <c r="D556" i="3" a="1"/>
  <c r="D556" i="3" s="1"/>
  <c r="C559" i="3" a="1"/>
  <c r="C559" i="3" s="1"/>
  <c r="D559" i="3" a="1"/>
  <c r="D559" i="3" s="1"/>
  <c r="C562" i="3" a="1"/>
  <c r="C562" i="3" s="1"/>
  <c r="D562" i="3" a="1"/>
  <c r="D562" i="3" s="1"/>
  <c r="C565" i="3" a="1"/>
  <c r="C565" i="3" s="1"/>
  <c r="D565" i="3" a="1"/>
  <c r="D565" i="3" s="1"/>
  <c r="C568" i="3" a="1"/>
  <c r="C568" i="3" s="1"/>
  <c r="D568" i="3" a="1"/>
  <c r="D568" i="3" s="1"/>
  <c r="C571" i="3" a="1"/>
  <c r="C571" i="3" s="1"/>
  <c r="D571" i="3" a="1"/>
  <c r="D571" i="3" s="1"/>
  <c r="C574" i="3" a="1"/>
  <c r="C574" i="3" s="1"/>
  <c r="D574" i="3" a="1"/>
  <c r="D574" i="3" s="1"/>
  <c r="C577" i="3" a="1"/>
  <c r="C577" i="3" s="1"/>
  <c r="D577" i="3" a="1"/>
  <c r="D577" i="3" s="1"/>
  <c r="C580" i="3" a="1"/>
  <c r="C580" i="3" s="1"/>
  <c r="D580" i="3" a="1"/>
  <c r="D580" i="3" s="1"/>
  <c r="C583" i="3" a="1"/>
  <c r="C583" i="3" s="1"/>
  <c r="D583" i="3" a="1"/>
  <c r="D583" i="3" s="1"/>
  <c r="C586" i="3" a="1"/>
  <c r="C586" i="3" s="1"/>
  <c r="D586" i="3" a="1"/>
  <c r="D586" i="3" s="1"/>
  <c r="C589" i="3" a="1"/>
  <c r="C589" i="3" s="1"/>
  <c r="D589" i="3" a="1"/>
  <c r="D589" i="3" s="1"/>
  <c r="C592" i="3" a="1"/>
  <c r="C592" i="3" s="1"/>
  <c r="D592" i="3" a="1"/>
  <c r="D592" i="3" s="1"/>
  <c r="C595" i="3" a="1"/>
  <c r="C595" i="3" s="1"/>
  <c r="D595" i="3" a="1"/>
  <c r="D595" i="3" s="1"/>
  <c r="C598" i="3" a="1"/>
  <c r="C598" i="3" s="1"/>
  <c r="D598" i="3" a="1"/>
  <c r="D598" i="3" s="1"/>
  <c r="C601" i="3" a="1"/>
  <c r="C601" i="3" s="1"/>
  <c r="D601" i="3" a="1"/>
  <c r="D601" i="3" s="1"/>
  <c r="C604" i="3" a="1"/>
  <c r="C604" i="3" s="1"/>
  <c r="D604" i="3" a="1"/>
  <c r="D604" i="3" s="1"/>
  <c r="C607" i="3" a="1"/>
  <c r="C607" i="3" s="1"/>
  <c r="D607" i="3" a="1"/>
  <c r="D607" i="3" s="1"/>
  <c r="C610" i="3" a="1"/>
  <c r="C610" i="3" s="1"/>
  <c r="D610" i="3" a="1"/>
  <c r="D610" i="3" s="1"/>
  <c r="C613" i="3" a="1"/>
  <c r="C613" i="3" s="1"/>
  <c r="D613" i="3" a="1"/>
  <c r="D613" i="3" s="1"/>
  <c r="C616" i="3" a="1"/>
  <c r="C616" i="3" s="1"/>
  <c r="D616" i="3" a="1"/>
  <c r="D616" i="3" s="1"/>
  <c r="C619" i="3" a="1"/>
  <c r="C619" i="3" s="1"/>
  <c r="D619" i="3" a="1"/>
  <c r="D619" i="3" s="1"/>
  <c r="C622" i="3" a="1"/>
  <c r="C622" i="3" s="1"/>
  <c r="D622" i="3" a="1"/>
  <c r="D622" i="3" s="1"/>
  <c r="C625" i="3" a="1"/>
  <c r="C625" i="3" s="1"/>
  <c r="D625" i="3" a="1"/>
  <c r="D625" i="3" s="1"/>
  <c r="C628" i="3" a="1"/>
  <c r="C628" i="3" s="1"/>
  <c r="D628" i="3" a="1"/>
  <c r="D628" i="3" s="1"/>
  <c r="C631" i="3" a="1"/>
  <c r="C631" i="3" s="1"/>
  <c r="D631" i="3" a="1"/>
  <c r="D631" i="3" s="1"/>
  <c r="C634" i="3" a="1"/>
  <c r="C634" i="3" s="1"/>
  <c r="D634" i="3" a="1"/>
  <c r="D634" i="3" s="1"/>
  <c r="C637" i="3" a="1"/>
  <c r="C637" i="3" s="1"/>
  <c r="D637" i="3" a="1"/>
  <c r="D637" i="3" s="1"/>
  <c r="C640" i="3" a="1"/>
  <c r="C640" i="3" s="1"/>
  <c r="D640" i="3" a="1"/>
  <c r="D640" i="3" s="1"/>
  <c r="C643" i="3" a="1"/>
  <c r="C643" i="3" s="1"/>
  <c r="D643" i="3" a="1"/>
  <c r="D643" i="3" s="1"/>
  <c r="C646" i="3" a="1"/>
  <c r="C646" i="3" s="1"/>
  <c r="D646" i="3" a="1"/>
  <c r="D646" i="3" s="1"/>
  <c r="C649" i="3" a="1"/>
  <c r="C649" i="3" s="1"/>
  <c r="D649" i="3" a="1"/>
  <c r="D649" i="3" s="1"/>
  <c r="C652" i="3" a="1"/>
  <c r="C652" i="3" s="1"/>
  <c r="D652" i="3" a="1"/>
  <c r="D652" i="3" s="1"/>
  <c r="C655" i="3" a="1"/>
  <c r="C655" i="3" s="1"/>
  <c r="D655" i="3" a="1"/>
  <c r="D655" i="3" s="1"/>
  <c r="C658" i="3" a="1"/>
  <c r="C658" i="3" s="1"/>
  <c r="D658" i="3" a="1"/>
  <c r="D658" i="3" s="1"/>
  <c r="C661" i="3" a="1"/>
  <c r="C661" i="3" s="1"/>
  <c r="D661" i="3" a="1"/>
  <c r="D661" i="3" s="1"/>
  <c r="C664" i="3" a="1"/>
  <c r="C664" i="3" s="1"/>
  <c r="D664" i="3" a="1"/>
  <c r="D664" i="3" s="1"/>
  <c r="C667" i="3" a="1"/>
  <c r="C667" i="3" s="1"/>
  <c r="D667" i="3" a="1"/>
  <c r="D667" i="3" s="1"/>
  <c r="C670" i="3" a="1"/>
  <c r="C670" i="3" s="1"/>
  <c r="D670" i="3" a="1"/>
  <c r="D670" i="3" s="1"/>
  <c r="C673" i="3" a="1"/>
  <c r="C673" i="3" s="1"/>
  <c r="D673" i="3" a="1"/>
  <c r="D673" i="3" s="1"/>
  <c r="C676" i="3" a="1"/>
  <c r="C676" i="3" s="1"/>
  <c r="D676" i="3" a="1"/>
  <c r="D676" i="3" s="1"/>
  <c r="C679" i="3" a="1"/>
  <c r="C679" i="3" s="1"/>
  <c r="D679" i="3" a="1"/>
  <c r="D679" i="3" s="1"/>
  <c r="C682" i="3" a="1"/>
  <c r="C682" i="3" s="1"/>
  <c r="D682" i="3" a="1"/>
  <c r="D682" i="3" s="1"/>
  <c r="C685" i="3" a="1"/>
  <c r="C685" i="3" s="1"/>
  <c r="D685" i="3" a="1"/>
  <c r="D685" i="3" s="1"/>
  <c r="C688" i="3" a="1"/>
  <c r="C688" i="3" s="1"/>
  <c r="D688" i="3" a="1"/>
  <c r="D688" i="3" s="1"/>
  <c r="C691" i="3" a="1"/>
  <c r="C691" i="3" s="1"/>
  <c r="D691" i="3" a="1"/>
  <c r="D691" i="3" s="1"/>
  <c r="C694" i="3" a="1"/>
  <c r="C694" i="3" s="1"/>
  <c r="D694" i="3" a="1"/>
  <c r="D694" i="3" s="1"/>
  <c r="C697" i="3" a="1"/>
  <c r="C697" i="3" s="1"/>
  <c r="D697" i="3" a="1"/>
  <c r="D697" i="3" s="1"/>
  <c r="C700" i="3" a="1"/>
  <c r="C700" i="3" s="1"/>
  <c r="D700" i="3" a="1"/>
  <c r="D700" i="3" s="1"/>
  <c r="C703" i="3" a="1"/>
  <c r="C703" i="3" s="1"/>
  <c r="D703" i="3" a="1"/>
  <c r="D703" i="3" s="1"/>
  <c r="C706" i="3" a="1"/>
  <c r="C706" i="3" s="1"/>
  <c r="D706" i="3" a="1"/>
  <c r="D706" i="3" s="1"/>
  <c r="C709" i="3" a="1"/>
  <c r="C709" i="3" s="1"/>
  <c r="D709" i="3" a="1"/>
  <c r="D709" i="3" s="1"/>
  <c r="C712" i="3" a="1"/>
  <c r="C712" i="3" s="1"/>
  <c r="D712" i="3" a="1"/>
  <c r="D712" i="3" s="1"/>
  <c r="C715" i="3" a="1"/>
  <c r="C715" i="3" s="1"/>
  <c r="D715" i="3" a="1"/>
  <c r="D715" i="3" s="1"/>
  <c r="C718" i="3" a="1"/>
  <c r="C718" i="3" s="1"/>
  <c r="D718" i="3" a="1"/>
  <c r="D718" i="3" s="1"/>
  <c r="C721" i="3" a="1"/>
  <c r="C721" i="3" s="1"/>
  <c r="D721" i="3" a="1"/>
  <c r="D721" i="3" s="1"/>
  <c r="C724" i="3" a="1"/>
  <c r="C724" i="3" s="1"/>
  <c r="D724" i="3" a="1"/>
  <c r="D724" i="3" s="1"/>
  <c r="C727" i="3" a="1"/>
  <c r="C727" i="3" s="1"/>
  <c r="D727" i="3" a="1"/>
  <c r="D727" i="3" s="1"/>
  <c r="C730" i="3" a="1"/>
  <c r="C730" i="3" s="1"/>
  <c r="D730" i="3" a="1"/>
  <c r="D730" i="3" s="1"/>
  <c r="C733" i="3" a="1"/>
  <c r="C733" i="3" s="1"/>
  <c r="D733" i="3" a="1"/>
  <c r="D733" i="3" s="1"/>
  <c r="C736" i="3" a="1"/>
  <c r="C736" i="3" s="1"/>
  <c r="D736" i="3" a="1"/>
  <c r="D736" i="3" s="1"/>
  <c r="C739" i="3" a="1"/>
  <c r="C739" i="3" s="1"/>
  <c r="D739" i="3" a="1"/>
  <c r="D739" i="3" s="1"/>
  <c r="C742" i="3" a="1"/>
  <c r="C742" i="3" s="1"/>
  <c r="D742" i="3" a="1"/>
  <c r="D742" i="3" s="1"/>
  <c r="C745" i="3" a="1"/>
  <c r="C745" i="3" s="1"/>
  <c r="D745" i="3" a="1"/>
  <c r="D745" i="3" s="1"/>
  <c r="C748" i="3" a="1"/>
  <c r="C748" i="3" s="1"/>
  <c r="D748" i="3" a="1"/>
  <c r="D748" i="3" s="1"/>
  <c r="C751" i="3" a="1"/>
  <c r="C751" i="3" s="1"/>
  <c r="D751" i="3" a="1"/>
  <c r="D751" i="3" s="1"/>
  <c r="C754" i="3" a="1"/>
  <c r="C754" i="3" s="1"/>
  <c r="D754" i="3" a="1"/>
  <c r="D754" i="3" s="1"/>
  <c r="C757" i="3" a="1"/>
  <c r="C757" i="3" s="1"/>
  <c r="D757" i="3" a="1"/>
  <c r="D757" i="3" s="1"/>
  <c r="C760" i="3" a="1"/>
  <c r="C760" i="3" s="1"/>
  <c r="D760" i="3" a="1"/>
  <c r="D760" i="3" s="1"/>
  <c r="C763" i="3" a="1"/>
  <c r="C763" i="3" s="1"/>
  <c r="D763" i="3" a="1"/>
  <c r="D763" i="3" s="1"/>
  <c r="C766" i="3" a="1"/>
  <c r="C766" i="3" s="1"/>
  <c r="D766" i="3" a="1"/>
  <c r="D766" i="3" s="1"/>
  <c r="C769" i="3" a="1"/>
  <c r="C769" i="3" s="1"/>
  <c r="D769" i="3" a="1"/>
  <c r="D769" i="3" s="1"/>
  <c r="C772" i="3" a="1"/>
  <c r="C772" i="3" s="1"/>
  <c r="D772" i="3" a="1"/>
  <c r="D772" i="3" s="1"/>
  <c r="C775" i="3" a="1"/>
  <c r="C775" i="3" s="1"/>
  <c r="D775" i="3" a="1"/>
  <c r="D775" i="3" s="1"/>
  <c r="C778" i="3" a="1"/>
  <c r="C778" i="3" s="1"/>
  <c r="D778" i="3" a="1"/>
  <c r="D778" i="3" s="1"/>
  <c r="C781" i="3" a="1"/>
  <c r="C781" i="3" s="1"/>
  <c r="D781" i="3" a="1"/>
  <c r="D781" i="3" s="1"/>
  <c r="C784" i="3" a="1"/>
  <c r="C784" i="3" s="1"/>
  <c r="D784" i="3" a="1"/>
  <c r="D784" i="3" s="1"/>
  <c r="C787" i="3" a="1"/>
  <c r="C787" i="3" s="1"/>
  <c r="D787" i="3" a="1"/>
  <c r="D787" i="3" s="1"/>
  <c r="C790" i="3" a="1"/>
  <c r="C790" i="3" s="1"/>
  <c r="D790" i="3" a="1"/>
  <c r="D790" i="3" s="1"/>
  <c r="C793" i="3" a="1"/>
  <c r="C793" i="3" s="1"/>
  <c r="D793" i="3" a="1"/>
  <c r="D793" i="3" s="1"/>
  <c r="C796" i="3" a="1"/>
  <c r="C796" i="3" s="1"/>
  <c r="D796" i="3" a="1"/>
  <c r="D796" i="3" s="1"/>
  <c r="C799" i="3" a="1"/>
  <c r="C799" i="3" s="1"/>
  <c r="D799" i="3" a="1"/>
  <c r="D799" i="3" s="1"/>
  <c r="C802" i="3" a="1"/>
  <c r="C802" i="3" s="1"/>
  <c r="D802" i="3" a="1"/>
  <c r="D802" i="3" s="1"/>
  <c r="C805" i="3" a="1"/>
  <c r="C805" i="3" s="1"/>
  <c r="D805" i="3" a="1"/>
  <c r="D805" i="3" s="1"/>
  <c r="C808" i="3" a="1"/>
  <c r="C808" i="3" s="1"/>
  <c r="D808" i="3" a="1"/>
  <c r="D808" i="3" s="1"/>
  <c r="C811" i="3" a="1"/>
  <c r="C811" i="3" s="1"/>
  <c r="D811" i="3" a="1"/>
  <c r="D811" i="3" s="1"/>
  <c r="C814" i="3" a="1"/>
  <c r="C814" i="3" s="1"/>
  <c r="D814" i="3" a="1"/>
  <c r="D814" i="3" s="1"/>
  <c r="C817" i="3" a="1"/>
  <c r="C817" i="3" s="1"/>
  <c r="D817" i="3" a="1"/>
  <c r="D817" i="3" s="1"/>
  <c r="C820" i="3" a="1"/>
  <c r="C820" i="3" s="1"/>
  <c r="D820" i="3" a="1"/>
  <c r="D820" i="3" s="1"/>
  <c r="C823" i="3" a="1"/>
  <c r="C823" i="3" s="1"/>
  <c r="D823" i="3" a="1"/>
  <c r="D823" i="3" s="1"/>
  <c r="C826" i="3" a="1"/>
  <c r="C826" i="3" s="1"/>
  <c r="D826" i="3" a="1"/>
  <c r="D826" i="3" s="1"/>
  <c r="C829" i="3" a="1"/>
  <c r="C829" i="3" s="1"/>
  <c r="D829" i="3" a="1"/>
  <c r="D829" i="3" s="1"/>
  <c r="C832" i="3" a="1"/>
  <c r="C832" i="3" s="1"/>
  <c r="D832" i="3" a="1"/>
  <c r="D832" i="3" s="1"/>
  <c r="C835" i="3" a="1"/>
  <c r="C835" i="3" s="1"/>
  <c r="D835" i="3" a="1"/>
  <c r="D835" i="3" s="1"/>
  <c r="C838" i="3" a="1"/>
  <c r="C838" i="3" s="1"/>
  <c r="D838" i="3" a="1"/>
  <c r="D838" i="3" s="1"/>
  <c r="C841" i="3" a="1"/>
  <c r="C841" i="3" s="1"/>
  <c r="D841" i="3" a="1"/>
  <c r="D841" i="3" s="1"/>
  <c r="C844" i="3" a="1"/>
  <c r="C844" i="3" s="1"/>
  <c r="D844" i="3" a="1"/>
  <c r="D844" i="3" s="1"/>
  <c r="C847" i="3" a="1"/>
  <c r="C847" i="3" s="1"/>
  <c r="D847" i="3" a="1"/>
  <c r="D847" i="3" s="1"/>
  <c r="C850" i="3" a="1"/>
  <c r="C850" i="3" s="1"/>
  <c r="D850" i="3" a="1"/>
  <c r="D850" i="3" s="1"/>
  <c r="C853" i="3" a="1"/>
  <c r="C853" i="3" s="1"/>
  <c r="D853" i="3" a="1"/>
  <c r="D853" i="3" s="1"/>
  <c r="C856" i="3" a="1"/>
  <c r="C856" i="3" s="1"/>
  <c r="D856" i="3" a="1"/>
  <c r="D856" i="3" s="1"/>
  <c r="C859" i="3" a="1"/>
  <c r="C859" i="3" s="1"/>
  <c r="D859" i="3" a="1"/>
  <c r="D859" i="3" s="1"/>
  <c r="C862" i="3" a="1"/>
  <c r="C862" i="3" s="1"/>
  <c r="D862" i="3" a="1"/>
  <c r="D862" i="3" s="1"/>
  <c r="C865" i="3" a="1"/>
  <c r="C865" i="3" s="1"/>
  <c r="D865" i="3" a="1"/>
  <c r="D865" i="3" s="1"/>
  <c r="C868" i="3" a="1"/>
  <c r="C868" i="3" s="1"/>
  <c r="D868" i="3" a="1"/>
  <c r="D868" i="3" s="1"/>
  <c r="C871" i="3" a="1"/>
  <c r="C871" i="3" s="1"/>
  <c r="D871" i="3" a="1"/>
  <c r="D871" i="3" s="1"/>
  <c r="C874" i="3" a="1"/>
  <c r="C874" i="3" s="1"/>
  <c r="D874" i="3" a="1"/>
  <c r="D874" i="3" s="1"/>
  <c r="C877" i="3" a="1"/>
  <c r="C877" i="3" s="1"/>
  <c r="D877" i="3" a="1"/>
  <c r="D877" i="3" s="1"/>
  <c r="C880" i="3" a="1"/>
  <c r="C880" i="3" s="1"/>
  <c r="D880" i="3" a="1"/>
  <c r="D880" i="3" s="1"/>
  <c r="C883" i="3" a="1"/>
  <c r="C883" i="3" s="1"/>
  <c r="D883" i="3" a="1"/>
  <c r="D883" i="3" s="1"/>
  <c r="C886" i="3" a="1"/>
  <c r="C886" i="3" s="1"/>
  <c r="D886" i="3" a="1"/>
  <c r="D886" i="3" s="1"/>
  <c r="C889" i="3" a="1"/>
  <c r="C889" i="3" s="1"/>
  <c r="D889" i="3" a="1"/>
  <c r="D889" i="3" s="1"/>
  <c r="C892" i="3" a="1"/>
  <c r="C892" i="3" s="1"/>
  <c r="D892" i="3" a="1"/>
  <c r="D892" i="3" s="1"/>
  <c r="C895" i="3" a="1"/>
  <c r="C895" i="3" s="1"/>
  <c r="D895" i="3" a="1"/>
  <c r="D895" i="3" s="1"/>
  <c r="C898" i="3" a="1"/>
  <c r="C898" i="3" s="1"/>
  <c r="D898" i="3" a="1"/>
  <c r="D898" i="3" s="1"/>
  <c r="C901" i="3" a="1"/>
  <c r="C901" i="3" s="1"/>
  <c r="D901" i="3" a="1"/>
  <c r="D901" i="3" s="1"/>
  <c r="C904" i="3" a="1"/>
  <c r="C904" i="3" s="1"/>
  <c r="D904" i="3" a="1"/>
  <c r="D904" i="3" s="1"/>
  <c r="C907" i="3" a="1"/>
  <c r="C907" i="3" s="1"/>
  <c r="D907" i="3" a="1"/>
  <c r="D907" i="3" s="1"/>
  <c r="C910" i="3" a="1"/>
  <c r="C910" i="3" s="1"/>
  <c r="D910" i="3" a="1"/>
  <c r="D910" i="3" s="1"/>
  <c r="C913" i="3" a="1"/>
  <c r="C913" i="3" s="1"/>
  <c r="D913" i="3" a="1"/>
  <c r="D913" i="3" s="1"/>
  <c r="C916" i="3" a="1"/>
  <c r="C916" i="3" s="1"/>
  <c r="D916" i="3" a="1"/>
  <c r="D916" i="3" s="1"/>
  <c r="C919" i="3" a="1"/>
  <c r="C919" i="3" s="1"/>
  <c r="D919" i="3" a="1"/>
  <c r="D919" i="3" s="1"/>
  <c r="C922" i="3" a="1"/>
  <c r="C922" i="3" s="1"/>
  <c r="D922" i="3" a="1"/>
  <c r="D922" i="3" s="1"/>
  <c r="C925" i="3" a="1"/>
  <c r="C925" i="3" s="1"/>
  <c r="D925" i="3" a="1"/>
  <c r="D925" i="3" s="1"/>
  <c r="C928" i="3" a="1"/>
  <c r="C928" i="3" s="1"/>
  <c r="D928" i="3" a="1"/>
  <c r="D928" i="3" s="1"/>
  <c r="C931" i="3" a="1"/>
  <c r="C931" i="3" s="1"/>
  <c r="D931" i="3" a="1"/>
  <c r="D931" i="3" s="1"/>
  <c r="C934" i="3" a="1"/>
  <c r="C934" i="3" s="1"/>
  <c r="D934" i="3" a="1"/>
  <c r="D934" i="3" s="1"/>
  <c r="C937" i="3" a="1"/>
  <c r="C937" i="3" s="1"/>
  <c r="D937" i="3" a="1"/>
  <c r="D937" i="3" s="1"/>
  <c r="C940" i="3" a="1"/>
  <c r="C940" i="3" s="1"/>
  <c r="D940" i="3" a="1"/>
  <c r="D940" i="3" s="1"/>
  <c r="C943" i="3" a="1"/>
  <c r="C943" i="3" s="1"/>
  <c r="D943" i="3" a="1"/>
  <c r="D943" i="3" s="1"/>
  <c r="C946" i="3" a="1"/>
  <c r="C946" i="3" s="1"/>
  <c r="D946" i="3" a="1"/>
  <c r="D946" i="3" s="1"/>
  <c r="C949" i="3" a="1"/>
  <c r="C949" i="3" s="1"/>
  <c r="D949" i="3" a="1"/>
  <c r="D949" i="3" s="1"/>
  <c r="C952" i="3" a="1"/>
  <c r="C952" i="3" s="1"/>
  <c r="D952" i="3" a="1"/>
  <c r="D952" i="3" s="1"/>
  <c r="C955" i="3" a="1"/>
  <c r="C955" i="3" s="1"/>
  <c r="D955" i="3" a="1"/>
  <c r="D955" i="3" s="1"/>
  <c r="C958" i="3" a="1"/>
  <c r="C958" i="3" s="1"/>
  <c r="D958" i="3" a="1"/>
  <c r="D958" i="3" s="1"/>
  <c r="C961" i="3" a="1"/>
  <c r="C961" i="3" s="1"/>
  <c r="D961" i="3" a="1"/>
  <c r="D961" i="3" s="1"/>
  <c r="C964" i="3" a="1"/>
  <c r="C964" i="3" s="1"/>
  <c r="D964" i="3" a="1"/>
  <c r="D964" i="3" s="1"/>
  <c r="C967" i="3" a="1"/>
  <c r="C967" i="3" s="1"/>
  <c r="D967" i="3" a="1"/>
  <c r="D967" i="3" s="1"/>
  <c r="C970" i="3" a="1"/>
  <c r="C970" i="3" s="1"/>
  <c r="D970" i="3" a="1"/>
  <c r="D970" i="3" s="1"/>
  <c r="C973" i="3" a="1"/>
  <c r="C973" i="3" s="1"/>
  <c r="D973" i="3" a="1"/>
  <c r="D973" i="3" s="1"/>
  <c r="C976" i="3" a="1"/>
  <c r="C976" i="3" s="1"/>
  <c r="D976" i="3" a="1"/>
  <c r="D976" i="3" s="1"/>
  <c r="C979" i="3" a="1"/>
  <c r="C979" i="3" s="1"/>
  <c r="D979" i="3" a="1"/>
  <c r="D979" i="3" s="1"/>
  <c r="C982" i="3" a="1"/>
  <c r="C982" i="3" s="1"/>
  <c r="D982" i="3" a="1"/>
  <c r="D982" i="3" s="1"/>
  <c r="C985" i="3" a="1"/>
  <c r="C985" i="3" s="1"/>
  <c r="D985" i="3" a="1"/>
  <c r="D985" i="3" s="1"/>
  <c r="C988" i="3" a="1"/>
  <c r="C988" i="3" s="1"/>
  <c r="D988" i="3" a="1"/>
  <c r="D988" i="3" s="1"/>
  <c r="C991" i="3" a="1"/>
  <c r="C991" i="3" s="1"/>
  <c r="D991" i="3" a="1"/>
  <c r="D991" i="3" s="1"/>
  <c r="C994" i="3" a="1"/>
  <c r="C994" i="3" s="1"/>
  <c r="D994" i="3" a="1"/>
  <c r="D994" i="3" s="1"/>
  <c r="C997" i="3" a="1"/>
  <c r="C997" i="3" s="1"/>
  <c r="D997" i="3" a="1"/>
  <c r="D997" i="3" s="1"/>
  <c r="C1000" i="3" a="1"/>
  <c r="C1000" i="3" s="1"/>
  <c r="D1000" i="3" a="1"/>
  <c r="D1000" i="3" s="1"/>
  <c r="C1003" i="3" a="1"/>
  <c r="C1003" i="3" s="1"/>
  <c r="D1003" i="3" a="1"/>
  <c r="D1003" i="3" s="1"/>
  <c r="C1006" i="3" a="1"/>
  <c r="C1006" i="3" s="1"/>
  <c r="D1006" i="3" a="1"/>
  <c r="D1006" i="3" s="1"/>
  <c r="C1009" i="3" a="1"/>
  <c r="C1009" i="3" s="1"/>
  <c r="D1009" i="3" a="1"/>
  <c r="D1009" i="3" s="1"/>
  <c r="C1012" i="3" a="1"/>
  <c r="C1012" i="3" s="1"/>
  <c r="D1012" i="3" a="1"/>
  <c r="D1012" i="3" s="1"/>
  <c r="C1015" i="3" a="1"/>
  <c r="C1015" i="3" s="1"/>
  <c r="D1015" i="3" a="1"/>
  <c r="D1015" i="3" s="1"/>
  <c r="C1018" i="3" a="1"/>
  <c r="C1018" i="3" s="1"/>
  <c r="D1018" i="3" a="1"/>
  <c r="D1018" i="3" s="1"/>
  <c r="D4" i="3" a="1"/>
  <c r="D4" i="3" s="1"/>
  <c r="C4" i="3" a="1"/>
  <c r="C4" i="3" s="1"/>
  <c r="B12" i="1"/>
  <c r="B10" i="1"/>
  <c r="B11" i="1"/>
  <c r="B9" i="1"/>
  <c r="B24" i="1"/>
  <c r="E4" i="3" l="1" a="1"/>
  <c r="B4" i="1"/>
  <c r="B5" i="1"/>
  <c r="B7" i="1"/>
  <c r="B15" i="1"/>
  <c r="B16" i="1"/>
  <c r="B17" i="1"/>
  <c r="B18" i="1"/>
  <c r="B19" i="1"/>
  <c r="B20" i="1"/>
  <c r="B21" i="1"/>
  <c r="B22" i="1"/>
  <c r="B23" i="1"/>
  <c r="B25" i="1"/>
  <c r="B26" i="1"/>
  <c r="B27" i="1"/>
  <c r="B30" i="1"/>
  <c r="B31" i="1"/>
  <c r="B32" i="1"/>
  <c r="B33" i="1"/>
  <c r="B34" i="1"/>
  <c r="B35" i="1"/>
  <c r="B36" i="1"/>
  <c r="B37" i="1"/>
  <c r="B38" i="1"/>
  <c r="B39" i="1"/>
  <c r="B40" i="1"/>
  <c r="B41" i="1"/>
  <c r="B42" i="1"/>
  <c r="B43" i="1"/>
  <c r="B44" i="1"/>
  <c r="B45" i="1"/>
  <c r="B46" i="1"/>
  <c r="B48" i="1"/>
  <c r="B49" i="1"/>
  <c r="B50" i="1"/>
  <c r="B51" i="1"/>
  <c r="B52" i="1"/>
  <c r="B53" i="1"/>
  <c r="B54" i="1"/>
  <c r="B55" i="1"/>
  <c r="B56" i="1"/>
  <c r="B57" i="1"/>
  <c r="B62" i="1"/>
  <c r="B63" i="1"/>
  <c r="B64" i="1"/>
  <c r="B65" i="1"/>
  <c r="B66" i="1"/>
  <c r="B67" i="1"/>
  <c r="B68" i="1"/>
  <c r="B69" i="1"/>
  <c r="B70" i="1"/>
  <c r="B71" i="1"/>
  <c r="B72" i="1"/>
  <c r="B73" i="1"/>
  <c r="B74" i="1"/>
  <c r="B75" i="1"/>
  <c r="B76" i="1"/>
  <c r="B77" i="1"/>
  <c r="B78" i="1"/>
  <c r="F26" i="1"/>
  <c r="L5" i="3" l="1"/>
  <c r="L13" i="3"/>
  <c r="L21" i="3"/>
  <c r="L6" i="3"/>
  <c r="L14" i="3"/>
  <c r="L22" i="3"/>
  <c r="L19" i="3"/>
  <c r="L7" i="3"/>
  <c r="L15" i="3"/>
  <c r="L23" i="3"/>
  <c r="L8" i="3"/>
  <c r="L16" i="3"/>
  <c r="L24" i="3"/>
  <c r="L9" i="3"/>
  <c r="L17" i="3"/>
  <c r="L25" i="3"/>
  <c r="L10" i="3"/>
  <c r="L18" i="3"/>
  <c r="L12" i="3"/>
  <c r="L20" i="3"/>
  <c r="L11" i="3"/>
  <c r="I4" i="3"/>
  <c r="I5" i="3"/>
  <c r="I13" i="3"/>
  <c r="I21" i="3"/>
  <c r="I6" i="3"/>
  <c r="I14" i="3"/>
  <c r="I22" i="3"/>
  <c r="I7" i="3"/>
  <c r="I15" i="3"/>
  <c r="I23" i="3"/>
  <c r="I20" i="3"/>
  <c r="I8" i="3"/>
  <c r="I16" i="3"/>
  <c r="I24" i="3"/>
  <c r="I9" i="3"/>
  <c r="I17" i="3"/>
  <c r="I25" i="3"/>
  <c r="I10" i="3"/>
  <c r="I18" i="3"/>
  <c r="I11" i="3"/>
  <c r="I19" i="3"/>
  <c r="I12" i="3"/>
  <c r="J4" i="3"/>
  <c r="J14" i="3"/>
  <c r="J16" i="3"/>
  <c r="J20" i="3"/>
  <c r="J24" i="3"/>
  <c r="J5" i="3"/>
  <c r="J7" i="3"/>
  <c r="J9" i="3"/>
  <c r="J11" i="3"/>
  <c r="J13" i="3"/>
  <c r="J15" i="3"/>
  <c r="J17" i="3"/>
  <c r="J19" i="3"/>
  <c r="J21" i="3"/>
  <c r="J23" i="3"/>
  <c r="J25" i="3"/>
  <c r="J18" i="3"/>
  <c r="J12" i="3"/>
  <c r="J6" i="3"/>
  <c r="J22" i="3"/>
  <c r="J8" i="3"/>
  <c r="J10" i="3"/>
  <c r="E4" i="3"/>
  <c r="L4" i="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<sst xmlns="http://schemas.openxmlformats.org/spreadsheetml/2006/main" count="1059" uniqueCount="421">
  <si>
    <t>Category</t>
  </si>
  <si>
    <t>Command</t>
  </si>
  <si>
    <t>search</t>
  </si>
  <si>
    <t xml:space="preserve">e </t>
  </si>
  <si>
    <t>Everything</t>
  </si>
  <si>
    <t>s</t>
  </si>
  <si>
    <t xml:space="preserve">g </t>
  </si>
  <si>
    <t>Google</t>
  </si>
  <si>
    <t xml:space="preserve">y </t>
  </si>
  <si>
    <t>sites</t>
  </si>
  <si>
    <t>apps</t>
  </si>
  <si>
    <t>folder</t>
  </si>
  <si>
    <t>down</t>
  </si>
  <si>
    <t>doc</t>
  </si>
  <si>
    <t>rec</t>
  </si>
  <si>
    <t>ahk</t>
  </si>
  <si>
    <t>Field 1</t>
  </si>
  <si>
    <t>YouTube</t>
  </si>
  <si>
    <t>dri</t>
  </si>
  <si>
    <t>Drive</t>
  </si>
  <si>
    <t>red</t>
  </si>
  <si>
    <t>Reddit</t>
  </si>
  <si>
    <t>cal</t>
  </si>
  <si>
    <t>Calendar</t>
  </si>
  <si>
    <t>map</t>
  </si>
  <si>
    <t>Maps</t>
  </si>
  <si>
    <t>C:\Program Files\Everything\Everything.exe -search REPLACEME</t>
  </si>
  <si>
    <t>https://www.youtube.com/results?search_query=REPLACEME</t>
  </si>
  <si>
    <t xml:space="preserve">m </t>
  </si>
  <si>
    <t>Multi Search</t>
  </si>
  <si>
    <t>https://duckduckgo.com/?q=REPLACEME</t>
  </si>
  <si>
    <t>https://www.google.com/search?&amp;q=REPLACEME</t>
  </si>
  <si>
    <t>Field 2</t>
  </si>
  <si>
    <t>gma</t>
  </si>
  <si>
    <t>Gmail</t>
  </si>
  <si>
    <t>pai</t>
  </si>
  <si>
    <t>Paint</t>
  </si>
  <si>
    <t>not</t>
  </si>
  <si>
    <t>Notepad</t>
  </si>
  <si>
    <t>Reload</t>
  </si>
  <si>
    <t>Launcher Dir</t>
  </si>
  <si>
    <t>AHK show scripts</t>
  </si>
  <si>
    <t>Downloads</t>
  </si>
  <si>
    <t>Documents</t>
  </si>
  <si>
    <t>Recycling Bin</t>
  </si>
  <si>
    <t>Launcher Excel Mgr</t>
  </si>
  <si>
    <t>Description</t>
  </si>
  <si>
    <t>wea</t>
  </si>
  <si>
    <t>Weather</t>
  </si>
  <si>
    <t>tools</t>
  </si>
  <si>
    <t>tm</t>
  </si>
  <si>
    <t>Task Manager</t>
  </si>
  <si>
    <t>Outlook</t>
  </si>
  <si>
    <t>r</t>
  </si>
  <si>
    <t>https://www.google.com/maps/</t>
  </si>
  <si>
    <t>::{645FF040-5081-101B-9F08-00AA002F954E}</t>
  </si>
  <si>
    <t>run</t>
  </si>
  <si>
    <t>https://weawow.com/</t>
  </si>
  <si>
    <t>taskmgr</t>
  </si>
  <si>
    <t xml:space="preserve">c </t>
  </si>
  <si>
    <t>https://www.google.com/calendar</t>
  </si>
  <si>
    <t>www.reddit.com</t>
  </si>
  <si>
    <t>n</t>
  </si>
  <si>
    <t>cont</t>
  </si>
  <si>
    <t>Control Panel</t>
  </si>
  <si>
    <t>Environment Variables</t>
  </si>
  <si>
    <t xml:space="preserve">o </t>
  </si>
  <si>
    <t>a dir</t>
  </si>
  <si>
    <t>a show</t>
  </si>
  <si>
    <t>a edit</t>
  </si>
  <si>
    <t>a rel</t>
  </si>
  <si>
    <t>Calculator</t>
  </si>
  <si>
    <t>%A_ScriptDir%\..\.</t>
  </si>
  <si>
    <t>a xl</t>
  </si>
  <si>
    <t>wha</t>
  </si>
  <si>
    <t>WhatsApp</t>
  </si>
  <si>
    <t>https://web.whatsapp.com</t>
  </si>
  <si>
    <t>kee</t>
  </si>
  <si>
    <t>Google Keep Notes</t>
  </si>
  <si>
    <t>https://keep.google.com/</t>
  </si>
  <si>
    <t>Launcher edit in Pycharm</t>
  </si>
  <si>
    <t>TODO</t>
  </si>
  <si>
    <t>reg</t>
  </si>
  <si>
    <t>Regex</t>
  </si>
  <si>
    <t>git</t>
  </si>
  <si>
    <t>Github</t>
  </si>
  <si>
    <t>https://github.com/</t>
  </si>
  <si>
    <t>https://regex101.com/</t>
  </si>
  <si>
    <t xml:space="preserve">r </t>
  </si>
  <si>
    <t>c?</t>
  </si>
  <si>
    <t>Calculator Help</t>
  </si>
  <si>
    <t>k?</t>
  </si>
  <si>
    <t>Keyboard Shortcut Help</t>
  </si>
  <si>
    <t>https://open.spotify.com/search/REPLACEME</t>
  </si>
  <si>
    <t>Spotify</t>
  </si>
  <si>
    <t>commands</t>
  </si>
  <si>
    <t>Sound</t>
  </si>
  <si>
    <t>mou</t>
  </si>
  <si>
    <t>Mouse Highlighter</t>
  </si>
  <si>
    <t>zon</t>
  </si>
  <si>
    <t>FancyZones</t>
  </si>
  <si>
    <t>col</t>
  </si>
  <si>
    <t>Color Picker</t>
  </si>
  <si>
    <t>mut</t>
  </si>
  <si>
    <t>Mute mic and cam</t>
  </si>
  <si>
    <t>a kill</t>
  </si>
  <si>
    <t>Kill</t>
  </si>
  <si>
    <t>a sta</t>
  </si>
  <si>
    <t>Start</t>
  </si>
  <si>
    <t>sni</t>
  </si>
  <si>
    <t>Snip n Sketch</t>
  </si>
  <si>
    <t>caps</t>
  </si>
  <si>
    <t>CapsLock Toggle</t>
  </si>
  <si>
    <t>top</t>
  </si>
  <si>
    <t>Set Window on top</t>
  </si>
  <si>
    <t>pycharm64</t>
  </si>
  <si>
    <t>Compose</t>
  </si>
  <si>
    <t>outlookApp := GetOutlookCom()
MailItem := outlookApp.CreateItem(0)
MailItem.Display</t>
  </si>
  <si>
    <t>com</t>
  </si>
  <si>
    <t>inb</t>
  </si>
  <si>
    <t>blank</t>
  </si>
  <si>
    <t>emo</t>
  </si>
  <si>
    <t>Emojis</t>
  </si>
  <si>
    <t>mag</t>
  </si>
  <si>
    <t>Magnifier</t>
  </si>
  <si>
    <t>rul</t>
  </si>
  <si>
    <t>Ruler</t>
  </si>
  <si>
    <t>ext</t>
  </si>
  <si>
    <t>Extract text</t>
  </si>
  <si>
    <t>resx</t>
  </si>
  <si>
    <t>Resetart explorer</t>
  </si>
  <si>
    <t>todo</t>
  </si>
  <si>
    <t>awa</t>
  </si>
  <si>
    <t>Awake</t>
  </si>
  <si>
    <t>?</t>
  </si>
  <si>
    <t>Help</t>
  </si>
  <si>
    <t>k</t>
  </si>
  <si>
    <t>#.</t>
  </si>
  <si>
    <t>#+``</t>
  </si>
  <si>
    <t>#+c</t>
  </si>
  <si>
    <t>#+n</t>
  </si>
  <si>
    <t>#+s</t>
  </si>
  <si>
    <t>#+m</t>
  </si>
  <si>
    <t>#^t</t>
  </si>
  <si>
    <t>run 'taskkill /f /im explorer.exe'
run 'explorer.exe'</t>
  </si>
  <si>
    <t>control</t>
  </si>
  <si>
    <t xml:space="preserve">"C:\Windows\system32\rundll32.exe" sysdm.cpl`,EditEnvironmentVariables </t>
  </si>
  <si>
    <t>SendLevel(0)
Send "^!#m"
SendLevel(1)</t>
  </si>
  <si>
    <t>tryrun('"C:\Program Files\Microsoft Office\root\Office16\OUTLOOK.EXE" /recycle /select outlook:calendar')</t>
  </si>
  <si>
    <t>tryrun('"C:\Program Files\Microsoft Office\root\Office16\OUTLOOK.EXE" /recycle /select outlook:inbox')</t>
  </si>
  <si>
    <t>lngui_enable_calc()</t>
  </si>
  <si>
    <t>www.drive.google.com/</t>
  </si>
  <si>
    <t>https://mail.google.com/</t>
  </si>
  <si>
    <t>%A_ScriptDir%\..\</t>
  </si>
  <si>
    <t>%A_ScriptDir%\..\..\AHKstartup.ahk</t>
  </si>
  <si>
    <t>%A_ScriptDir%\..\ShowAHKScripts.ahk</t>
  </si>
  <si>
    <t>lngui_enable_query("Outlook", OutlookSearch)</t>
  </si>
  <si>
    <t>run code in next cell without closing gui</t>
  </si>
  <si>
    <t>tryrun("HELP-Commands.txt")
Sleep(100)
close_lngui()
build_lngui()</t>
  </si>
  <si>
    <t>pc</t>
  </si>
  <si>
    <t>This PC</t>
  </si>
  <si>
    <t>explorer</t>
  </si>
  <si>
    <t>=</t>
  </si>
  <si>
    <t>tryrun("C:\Users\" A_Username "\AppData\Roaming\Microsoft\Windows\Start Menu\Programs\Accessibility\Magnify.lnk")</t>
  </si>
  <si>
    <t>sou</t>
  </si>
  <si>
    <t>C:\Users\' A_Username '\Downloads</t>
  </si>
  <si>
    <t>_work</t>
  </si>
  <si>
    <t>Work Calendar</t>
  </si>
  <si>
    <t>Work inbox</t>
  </si>
  <si>
    <t>C:\Users\' A_Username '\Desktop</t>
  </si>
  <si>
    <t>desk</t>
  </si>
  <si>
    <t>Desktop</t>
  </si>
  <si>
    <t>Type</t>
  </si>
  <si>
    <t>t</t>
  </si>
  <si>
    <t>keys</t>
  </si>
  <si>
    <t>text</t>
  </si>
  <si>
    <t>output file:</t>
  </si>
  <si>
    <t>toggleCapsLock()</t>
  </si>
  <si>
    <r>
      <t xml:space="preserve">ctrl+l     </t>
    </r>
    <r>
      <rPr>
        <i/>
        <sz val="10"/>
        <color theme="5" tint="0.39997558519241921"/>
        <rFont val="Consolas"/>
        <family val="3"/>
      </rPr>
      <t>(to run macro)</t>
    </r>
  </si>
  <si>
    <t>tea</t>
  </si>
  <si>
    <t>MS Teams</t>
  </si>
  <si>
    <t>mem</t>
  </si>
  <si>
    <t>LNCHR Memory</t>
  </si>
  <si>
    <t>"LNCHR-Memory.ini"</t>
  </si>
  <si>
    <t>cdr</t>
  </si>
  <si>
    <t>C Drive</t>
  </si>
  <si>
    <t>C:\</t>
  </si>
  <si>
    <t xml:space="preserve">rk </t>
  </si>
  <si>
    <t>Run (keep open)</t>
  </si>
  <si>
    <t>cmd /k 'REPLACEME'</t>
  </si>
  <si>
    <t>Conditional</t>
  </si>
  <si>
    <t>KillAHK.ahk</t>
  </si>
  <si>
    <t>StayAwake.ahk</t>
  </si>
  <si>
    <t>LNCHR-CommandsGenerator.xlsm</t>
  </si>
  <si>
    <t>Affects the way the Excel macro prints the code as outlined below:</t>
  </si>
  <si>
    <t>SendInput '&lt;Field 1 contents&gt;'</t>
  </si>
  <si>
    <t>SendText '&lt;Field 1 contents&gt;'</t>
  </si>
  <si>
    <t>Notes</t>
  </si>
  <si>
    <t>allows for conditional flags to be added.
If text in the cell is present in this column, the if statement that checks checks the command text now includes an "and XCONDX" where XCONDX is the text (which should be a variable) that you put in the cell.
For example, you may want to use a flag which is True if the gui is open on a particular computer.
Be mindful of ordering if duplicate commands are present.</t>
  </si>
  <si>
    <t>Has no effect, but is useful for sorting and organizing the commands.</t>
  </si>
  <si>
    <t>The command to be entered in the GUI/</t>
  </si>
  <si>
    <t>A description of the command. This appears in the generated documentation file: "HELP-Commands.txt".</t>
  </si>
  <si>
    <t>no-close</t>
  </si>
  <si>
    <t>close gui then run code in next cell (Field 1)</t>
  </si>
  <si>
    <t>run the  command described in next cells (Field 1, 2 etc. util one is blank). 
Each field is wrapped in double-quotes if that field contains a space character.
Fields are separated by space.</t>
  </si>
  <si>
    <t>enables a run_ReplaceText type query, with the next cell(s) being the command templates that contain REPLACEME. REPLACEME is replaced by the following text the user enters in the query.</t>
  </si>
  <si>
    <t>SoundCardCheck.ahk</t>
  </si>
  <si>
    <t>Cell B1 has the output file. Recommended to not change this.
Press ctrl+l to run the macro. (ensure no other excel files are open that have a ctrl+l macro)
The maximum length a command name can take (used to produce the help text file) is set by "helpStrcommandlen = 6" in the macro file.</t>
  </si>
  <si>
    <t>C:\Users\' A_Username '\OneDrive - VINCI Energies\Documenten</t>
  </si>
  <si>
    <t>C:\Users\' A_Username '\OneDrive - VINCI Energies\Documenten\Working-files</t>
  </si>
  <si>
    <t>Working files</t>
  </si>
  <si>
    <t>wor</t>
  </si>
  <si>
    <t>sub</t>
  </si>
  <si>
    <t>Sublime tekst</t>
  </si>
  <si>
    <t>C:\ProgramData\Microsoft\Windows\Start Menu\Programs\Sublime Text.lnk</t>
  </si>
  <si>
    <t>tdi</t>
  </si>
  <si>
    <t>whi</t>
  </si>
  <si>
    <t>whiteboard</t>
  </si>
  <si>
    <t>topdesk incident</t>
  </si>
  <si>
    <t>topdesk portal</t>
  </si>
  <si>
    <t>nr := StrReplace(A_Clipboard, " ", "+")
if(InStr(nr, "AM")){
	tryrun(StrReplace("https://axians.topdesk.net/tas/secure/incident?action=lookup&amp;lookup=naam&amp;lookupValue=REPLACEME","REPLACEME",nr))
} 
if(InStr(nr, "AW")){
	tryrun(StrReplace("https://axians.topdesk.net/tas/secure/newchange?action=lookup&amp;lookup=number&amp;lookupValue=REPLACEME","REPLACEME",nr))
}</t>
  </si>
  <si>
    <t>tdp</t>
  </si>
  <si>
    <t>snow</t>
  </si>
  <si>
    <t>service now (KIWA)</t>
  </si>
  <si>
    <t>HKEY_CURRENT_USER\Software\Microsoft\Edge\Profiles\Default</t>
  </si>
  <si>
    <t xml:space="preserve">    ShortcutName    REG_SZ    Work</t>
  </si>
  <si>
    <t>HKEY_CURRENT_USER\Software\Microsoft\Edge\Profiles\Profile 1</t>
  </si>
  <si>
    <t xml:space="preserve">    ShortcutName    REG_SZ    Personal</t>
  </si>
  <si>
    <t>HKEY_CURRENT_USER\Software\Microsoft\Edge\Profiles\Profile 11</t>
  </si>
  <si>
    <t xml:space="preserve">    ShortcutName    REG_SZ    NLO</t>
  </si>
  <si>
    <t>HKEY_CURRENT_USER\Software\Microsoft\Edge\Profiles\Profile 12</t>
  </si>
  <si>
    <t xml:space="preserve">    ShortcutName    REG_SZ    BPD</t>
  </si>
  <si>
    <t>HKEY_CURRENT_USER\Software\Microsoft\Edge\Profiles\Profile 13</t>
  </si>
  <si>
    <t xml:space="preserve">    ShortcutName    REG_SZ    DAK</t>
  </si>
  <si>
    <t>HKEY_CURRENT_USER\Software\Microsoft\Edge\Profiles\Profile 14</t>
  </si>
  <si>
    <t xml:space="preserve">    ShortcutName    REG_SZ    Fleet (Support vened)</t>
  </si>
  <si>
    <t>HKEY_CURRENT_USER\Software\Microsoft\Edge\Profiles\Profile 15</t>
  </si>
  <si>
    <t xml:space="preserve">    ShortcutName    REG_SZ    Zabbix admin</t>
  </si>
  <si>
    <t>HKEY_CURRENT_USER\Software\Microsoft\Edge\Profiles\Profile 16</t>
  </si>
  <si>
    <t xml:space="preserve">    ShortcutName    REG_SZ    Indigo</t>
  </si>
  <si>
    <t>HKEY_CURRENT_USER\Software\Microsoft\Edge\Profiles\Profile 17</t>
  </si>
  <si>
    <t xml:space="preserve">    ShortcutName    REG_SZ    Itho</t>
  </si>
  <si>
    <t>HKEY_CURRENT_USER\Software\Microsoft\Edge\Profiles\Profile 18</t>
  </si>
  <si>
    <t xml:space="preserve">    ShortcutName    REG_SZ    Buas</t>
  </si>
  <si>
    <t>HKEY_CURRENT_USER\Software\Microsoft\Edge\Profiles\Profile 2</t>
  </si>
  <si>
    <t xml:space="preserve">    ShortcutName    REG_SZ    Eikelkamp</t>
  </si>
  <si>
    <t>HKEY_CURRENT_USER\Software\Microsoft\Edge\Profiles\Profile 20</t>
  </si>
  <si>
    <t xml:space="preserve">    ShortcutName    REG_SZ    Vion</t>
  </si>
  <si>
    <t>HKEY_CURRENT_USER\Software\Microsoft\Edge\Profiles\Profile 21</t>
  </si>
  <si>
    <t xml:space="preserve">    ShortcutName    REG_SZ    Foundation</t>
  </si>
  <si>
    <t>HKEY_CURRENT_USER\Software\Microsoft\Edge\Profiles\Profile 22</t>
  </si>
  <si>
    <t xml:space="preserve">    ShortcutName    REG_SZ    Personal VENED</t>
  </si>
  <si>
    <t>HKEY_CURRENT_USER\Software\Microsoft\Edge\Profiles\Profile 23</t>
  </si>
  <si>
    <t xml:space="preserve">    ShortcutName    REG_SZ    Synerlogic azure</t>
  </si>
  <si>
    <t>HKEY_CURRENT_USER\Software\Microsoft\Edge\Profiles\Profile 24</t>
  </si>
  <si>
    <t xml:space="preserve">    ShortcutName    REG_SZ    AxiansPS</t>
  </si>
  <si>
    <t>HKEY_CURRENT_USER\Software\Microsoft\Edge\Profiles\Profile 3</t>
  </si>
  <si>
    <t xml:space="preserve">    ShortcutName    REG_SZ    Mediq</t>
  </si>
  <si>
    <t>HKEY_CURRENT_USER\Software\Microsoft\Edge\Profiles\Profile 4</t>
  </si>
  <si>
    <t xml:space="preserve">    ShortcutName    REG_SZ    Support vinci</t>
  </si>
  <si>
    <t>HKEY_CURRENT_USER\Software\Microsoft\Edge\Profiles\Profile 5</t>
  </si>
  <si>
    <t xml:space="preserve">    ShortcutName    REG_SZ    Emergis</t>
  </si>
  <si>
    <t>HKEY_CURRENT_USER\Software\Microsoft\Edge\Profiles\Profile 6</t>
  </si>
  <si>
    <t xml:space="preserve">    ShortcutName    REG_SZ    Burg</t>
  </si>
  <si>
    <t>HKEY_CURRENT_USER\Software\Microsoft\Edge\Profiles\Profile 7</t>
  </si>
  <si>
    <t xml:space="preserve">    ShortcutName    REG_SZ    ODF</t>
  </si>
  <si>
    <t>HKEY_CURRENT_USER\Software\Microsoft\Edge\Profiles\Profile 8</t>
  </si>
  <si>
    <t xml:space="preserve">    ShortcutName    REG_SZ    Kiwa</t>
  </si>
  <si>
    <t>End of search: 22 match(es) found.</t>
  </si>
  <si>
    <t>Paste here-&gt;</t>
  </si>
  <si>
    <t xml:space="preserve">Run this command -&gt; </t>
  </si>
  <si>
    <t>reg query HKEY_CURRENT_USER\Software\Microsoft\Edge\Profiles /s /v ShortcutName | clip</t>
  </si>
  <si>
    <t>edge profiles</t>
  </si>
  <si>
    <t>Edge pr. Work</t>
  </si>
  <si>
    <t>Edge pr. Personal</t>
  </si>
  <si>
    <t>Edge pr. NLO</t>
  </si>
  <si>
    <t>Edge pr. BPD</t>
  </si>
  <si>
    <t>Edge pr. DAK</t>
  </si>
  <si>
    <t>Edge pr. Fleet (Support vened)</t>
  </si>
  <si>
    <t>Edge pr. Zabbix admin</t>
  </si>
  <si>
    <t>Edge pr. Indigo</t>
  </si>
  <si>
    <t>Edge pr. Itho</t>
  </si>
  <si>
    <t>Edge pr. Buas</t>
  </si>
  <si>
    <t>Edge pr. Eikelkamp</t>
  </si>
  <si>
    <t>Edge pr. Vion</t>
  </si>
  <si>
    <t>Edge pr. Foundation</t>
  </si>
  <si>
    <t>Edge pr. Synerlogic azure</t>
  </si>
  <si>
    <t>Edge pr. AxiansPS</t>
  </si>
  <si>
    <t>Edge pr. Mediq</t>
  </si>
  <si>
    <t>Edge pr. Support vinci</t>
  </si>
  <si>
    <t>Edge pr. Emergis</t>
  </si>
  <si>
    <t>Edge pr. Burg</t>
  </si>
  <si>
    <t>Edge pr. ODF</t>
  </si>
  <si>
    <t>Edge pr. Kiwa</t>
  </si>
  <si>
    <t>UsingAnyWorkcomputer</t>
  </si>
  <si>
    <t>ep wor</t>
  </si>
  <si>
    <t>ep per</t>
  </si>
  <si>
    <t>ep nlo</t>
  </si>
  <si>
    <t>ep bpd</t>
  </si>
  <si>
    <t>ep dak</t>
  </si>
  <si>
    <t>ep fle</t>
  </si>
  <si>
    <t>ep zab</t>
  </si>
  <si>
    <t>ep ind</t>
  </si>
  <si>
    <t>ep ith</t>
  </si>
  <si>
    <t>ep bua</t>
  </si>
  <si>
    <t>ep eik</t>
  </si>
  <si>
    <t>ep vio</t>
  </si>
  <si>
    <t>ep fou</t>
  </si>
  <si>
    <t>ep syn</t>
  </si>
  <si>
    <t>ep axi</t>
  </si>
  <si>
    <t>ep med</t>
  </si>
  <si>
    <t>ep sup</t>
  </si>
  <si>
    <t>ep eme</t>
  </si>
  <si>
    <t>ep bur</t>
  </si>
  <si>
    <t>ep odf</t>
  </si>
  <si>
    <t>ep kiw</t>
  </si>
  <si>
    <t>tryrun('msedge.exe --profile-directory="Profile 12"')</t>
  </si>
  <si>
    <t>tryrun('msedge.exe --profile-directory="Default"')</t>
  </si>
  <si>
    <t>tryrun('msedge.exe --profile-directory="Profile 1"')</t>
  </si>
  <si>
    <t>tryrun('msedge.exe --profile-directory="Profile 11"')</t>
  </si>
  <si>
    <t>tryrun('msedge.exe --profile-directory="Profile 13"')</t>
  </si>
  <si>
    <t>tryrun('msedge.exe --profile-directory="Profile 14"')</t>
  </si>
  <si>
    <t>tryrun('msedge.exe --profile-directory="Profile 15"')</t>
  </si>
  <si>
    <t>tryrun('msedge.exe --profile-directory="Profile 16"')</t>
  </si>
  <si>
    <t>tryrun('msedge.exe --profile-directory="Profile 17"')</t>
  </si>
  <si>
    <t>tryrun('msedge.exe --profile-directory="Profile 18"')</t>
  </si>
  <si>
    <t>tryrun('msedge.exe --profile-directory="Profile 2"')</t>
  </si>
  <si>
    <t>tryrun('msedge.exe --profile-directory="Profile 20"')</t>
  </si>
  <si>
    <t>tryrun('msedge.exe --profile-directory="Profile 21"')</t>
  </si>
  <si>
    <t>tryrun('msedge.exe --profile-directory="Profile 22"')</t>
  </si>
  <si>
    <t>tryrun('msedge.exe --profile-directory="Profile 23"')</t>
  </si>
  <si>
    <t>tryrun('msedge.exe --profile-directory="Profile 24"')</t>
  </si>
  <si>
    <t>tryrun('msedge.exe --profile-directory="Profile 3"')</t>
  </si>
  <si>
    <t>tryrun('msedge.exe --profile-directory="Profile 4"')</t>
  </si>
  <si>
    <t>tryrun('msedge.exe --profile-directory="Profile 5"')</t>
  </si>
  <si>
    <t>tryrun('msedge.exe --profile-directory="Profile 6"')</t>
  </si>
  <si>
    <t>tryrun('msedge.exe --profile-directory="Profile 7"')</t>
  </si>
  <si>
    <t>tryrun('msedge.exe --profile-directory="Profile 8"')</t>
  </si>
  <si>
    <t>Edge pr. VENED Personal</t>
  </si>
  <si>
    <t>ep ven</t>
  </si>
  <si>
    <t xml:space="preserve">textfile: </t>
  </si>
  <si>
    <t>zab</t>
  </si>
  <si>
    <t>zabbix</t>
  </si>
  <si>
    <t>E</t>
  </si>
  <si>
    <t>#+t</t>
  </si>
  <si>
    <t>vs code</t>
  </si>
  <si>
    <t>C:\ProgramData\Microsoft\Windows\Start Menu\Programs\Visual Studio Code\Visual Studio Code.lnk</t>
  </si>
  <si>
    <t>vsdir</t>
  </si>
  <si>
    <t>vs code in current dir</t>
  </si>
  <si>
    <t>tryrun(StrReplace('C:\ProgramData\Microsoft\Windows\Start Menu\Programs\Visual Studio Code\Visual Studio Code.lnk "REPLACEME"',"REPLACEME", GetActiveExplorerPath()))</t>
  </si>
  <si>
    <t>vsc</t>
  </si>
  <si>
    <t>ms-team.exe</t>
  </si>
  <si>
    <t>Sorted list of shortcuts:</t>
  </si>
  <si>
    <t>key</t>
  </si>
  <si>
    <t>tryrun('"C:\Program Files\Microsoft Office\root\Office16\OUTLOOK.EXE" /recycle /select "outlook:\\support.ps.nl@axians.com\Postvak IN"')</t>
  </si>
  <si>
    <t>sin</t>
  </si>
  <si>
    <t>sca</t>
  </si>
  <si>
    <t>tryrun('"C:\Program Files\Microsoft Office\root\Office16\OUTLOOK.EXE" /select "outlook:\\AXIANS-BAZ NL Managed Services\Calendar"')</t>
  </si>
  <si>
    <t>Send date in DD-MM-YYYY</t>
  </si>
  <si>
    <t>Send(A_DD '-' A_MM '-' A_YYYY)</t>
  </si>
  <si>
    <t>Send(A_YYYY . A_MM . A_DD)</t>
  </si>
  <si>
    <t>Send date in YYYYMMDD</t>
  </si>
  <si>
    <t>https://www.google.com/search?num=50&amp;safe=off&amp;site=&amp;source=hp&amp;q=REPLACEME+site%3Areddit.com&amp;btnG=Search&amp;oq=&amp;gs_l=</t>
  </si>
  <si>
    <t>reddit search</t>
  </si>
  <si>
    <t>gcal</t>
  </si>
  <si>
    <t>notes</t>
  </si>
  <si>
    <t>obsidian://advanced-uri?vault=Tech%20vault&amp;commandid=quickadd%253Achoice%253Acc65d777-297e-45b5-9cc9-32e0a81eaed1</t>
  </si>
  <si>
    <t>task</t>
  </si>
  <si>
    <t>new obsidian task</t>
  </si>
  <si>
    <t>obsidian://advanced-uri?vault=Tech%20vault&amp;commandid=omnisearch%253Ashow-modal</t>
  </si>
  <si>
    <t>obsidian search</t>
  </si>
  <si>
    <t>Obsidian todo board</t>
  </si>
  <si>
    <t>obs</t>
  </si>
  <si>
    <t>obsidian://advanced-uri?vault=Tech%20vault&amp;filepath=92%2520Meta%252FTodo%2520board.md&amp;openmode=silent&amp;viewmode=preview</t>
  </si>
  <si>
    <t>tryrun('msedge.exe --profile-directory="Default" https://axians.topdesk.net/')</t>
  </si>
  <si>
    <t>tryrun('msedge.exe --profile-directory="Default" https://axians.service-now.com')</t>
  </si>
  <si>
    <t>tryrun('msedge.exe --profile-directory="Default" https://monitoring.bs.axians.nl/zabbix/zabbix.php?action=dashboard.view')</t>
  </si>
  <si>
    <t>msedge.exe --profile-directory=`"Default`" https://www.google.com/search?num=50&amp;safe=off&amp;site=&amp;source=hp&amp;q=REPLACEME&amp;btnG=Search&amp;oq=&amp;gs_l=</t>
  </si>
  <si>
    <t>test</t>
  </si>
  <si>
    <t>REPLACEME</t>
  </si>
  <si>
    <t>tryrun('msedge.exe --profile-directory="Default" https://vincienergies.sharepoint.com/:x:/r/sites/AxiansPSManagedServicesTeam/Documents%20partages/General/Ochtendcontrole/Whiteboard%202.0.xlsx?d=w8f40518b1395443bbc43f59c0c153edc&amp;csf=1&amp;web=1&amp;e=2lxaND')</t>
  </si>
  <si>
    <t>typing</t>
  </si>
  <si>
    <t>Send("Met vriendelijke groet/kind regards,`rMendel Niehof")</t>
  </si>
  <si>
    <t>Send(A_Clipboard)</t>
  </si>
  <si>
    <t>send clipboard</t>
  </si>
  <si>
    <t>Send mail signature</t>
  </si>
  <si>
    <t>Send LIKE '%%'</t>
  </si>
  <si>
    <t>Send("LIKE '%%'{Left 2}")</t>
  </si>
  <si>
    <t xml:space="preserve">Send SELECT * FROM </t>
  </si>
  <si>
    <t>Send("ORDER BY  DESC{Left 5}")</t>
  </si>
  <si>
    <t>Send ORDER BY DESC</t>
  </si>
  <si>
    <t>Send("SELECT * FROM ")</t>
  </si>
  <si>
    <t xml:space="preserve">sp </t>
  </si>
  <si>
    <t>Send 👍</t>
  </si>
  <si>
    <t>Send("👍")</t>
  </si>
  <si>
    <t>/dn</t>
  </si>
  <si>
    <t>/ds</t>
  </si>
  <si>
    <t>/ms</t>
  </si>
  <si>
    <t>/cl</t>
  </si>
  <si>
    <t>/li</t>
  </si>
  <si>
    <t>/sa</t>
  </si>
  <si>
    <t>/or</t>
  </si>
  <si>
    <t>/tu</t>
  </si>
  <si>
    <t>/la</t>
  </si>
  <si>
    <t>/sw</t>
  </si>
  <si>
    <t>Send 😂</t>
  </si>
  <si>
    <t>Send 😅</t>
  </si>
  <si>
    <t>Send("😂")</t>
  </si>
  <si>
    <t>Send("😅")</t>
  </si>
  <si>
    <t>ti</t>
  </si>
  <si>
    <t>Set label "ter info"</t>
  </si>
  <si>
    <t>Send("^{F8}")</t>
  </si>
  <si>
    <t>/idk</t>
  </si>
  <si>
    <t>Send ¯\_(ツ)_/¯</t>
  </si>
  <si>
    <t>Send("¯\_(ツ)_/¯")</t>
  </si>
  <si>
    <t>Perplexity</t>
  </si>
  <si>
    <t>https://www.perplexity.ai/search?q=REPLACEME</t>
  </si>
  <si>
    <t xml:space="preserve">p </t>
  </si>
  <si>
    <t>LNCHR-Commands.ahk</t>
  </si>
  <si>
    <t>HELP-Commands.txt</t>
  </si>
  <si>
    <t>test command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</si>
</sst>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onsolas"/>
      <family val="2"/>
      <scheme val="minor"/>
    </font>
    <font>
      <u/>
      <sz val="11"/>
      <color theme="10"/>
      <name val="Consolas"/>
      <family val="2"/>
      <scheme val="minor"/>
    </font>
    <font>
      <sz val="11"/>
      <color theme="0"/>
      <name val="Consolas"/>
      <family val="3"/>
    </font>
    <font>
      <i/>
      <sz val="11"/>
      <color theme="4" tint="0.39997558519241921"/>
      <name val="Consolas"/>
      <family val="3"/>
    </font>
    <font>
      <sz val="10"/>
      <color theme="0" tint="-0.34998626667073579"/>
      <name val="Consolas"/>
      <family val="3"/>
    </font>
    <font>
      <sz val="10"/>
      <color theme="0"/>
      <name val="Consolas"/>
      <family val="3"/>
    </font>
    <font>
      <i/>
      <sz val="10"/>
      <color theme="4" tint="0.39997558519241921"/>
      <name val="Consolas"/>
      <family val="3"/>
    </font>
    <font>
      <sz val="10"/>
      <color theme="4" tint="0.39997558519241921"/>
      <name val="Consolas"/>
      <family val="3"/>
    </font>
    <font>
      <u/>
      <sz val="10"/>
      <color theme="10"/>
      <name val="Consolas"/>
      <family val="3"/>
    </font>
    <font>
      <u/>
      <sz val="10"/>
      <color theme="10"/>
      <name val="Consolas"/>
      <family val="3"/>
      <scheme val="minor"/>
    </font>
    <font>
      <sz val="10"/>
      <color theme="0"/>
      <name val="Consolas"/>
      <family val="3"/>
      <scheme val="minor"/>
    </font>
    <font>
      <b/>
      <i/>
      <sz val="10"/>
      <color theme="5" tint="0.39997558519241921"/>
      <name val="Consolas"/>
      <family val="3"/>
    </font>
    <font>
      <i/>
      <sz val="10"/>
      <color theme="5" tint="0.39997558519241921"/>
      <name val="Consolas"/>
      <family val="3"/>
    </font>
    <font>
      <sz val="8"/>
      <color theme="3" tint="0.39997558519241921"/>
      <name val="Consolas"/>
      <family val="3"/>
    </font>
    <font>
      <i/>
      <sz val="11"/>
      <color theme="0"/>
      <name val="Consolas"/>
      <family val="3"/>
    </font>
    <font>
      <b/>
      <sz val="14"/>
      <color theme="1"/>
      <name val="Consolas"/>
      <family val="3"/>
      <scheme val="minor"/>
    </font>
  </fonts>
  <fills count="3">
    <fill>
      <patternFill patternType="none"/>
    </fill>
    <fill>
      <patternFill patternType="gray125"/>
    </fill>
    <fill>
      <patternFill patternType="solid">
        <fgColor theme="3" tint="-0.249977111117893"/>
        <bgColor indexed="64"/>
      </patternFill>
    </fill>
  </fills>
  <borders count="3">
    <border>
      <left/>
      <right/>
      <top/>
      <bottom/>
      <diagonal/>
    </border>
    <border>
      <left/>
      <right/>
      <top/>
      <bottom style="thin">
        <color theme="1" tint="0.34998626667073579"/>
      </bottom>
      <diagonal/>
    </border>
    <border>
      <left/>
      <right/>
      <top style="thin">
        <color theme="1" tint="0.34998626667073579"/>
      </top>
      <bottom style="thin">
        <color theme="1" tint="0.34998626667073579"/>
      </bottom>
      <diagonal/>
    </border>
  </borders>
  <cellStyleXfs count="2">
    <xf numFmtId="0" fontId="0" fillId="0" borderId="0"/>
    <xf numFmtId="0" fontId="1" fillId="0" borderId="0" applyNumberFormat="0" applyFill="0" applyBorder="0" applyAlignment="0" applyProtection="0"/>
  </cellStyleXfs>
  <cellXfs count="38">
    <xf numFmtId="0" fontId="0" fillId="0" borderId="0" xfId="0"/>
    <xf numFmtId="0" fontId="5" fillId="2" borderId="0" xfId="0" applyFont="1" applyFill="1" applyAlignment="1">
      <alignment horizontal="left"/>
    </xf>
    <xf numFmtId="0" fontId="6" fillId="2" borderId="1" xfId="0" applyFont="1" applyFill="1" applyBorder="1"/>
    <xf numFmtId="0" fontId="6" fillId="2" borderId="1" xfId="0" applyFont="1" applyFill="1" applyBorder="1" applyAlignment="1">
      <alignment wrapText="1"/>
    </xf>
    <xf numFmtId="0" fontId="7" fillId="2" borderId="0" xfId="0" applyFont="1" applyFill="1" applyAlignment="1">
      <alignment horizontal="left"/>
    </xf>
    <xf numFmtId="0" fontId="5" fillId="2" borderId="0" xfId="0" applyFont="1" applyFill="1" applyAlignment="1">
      <alignment horizontal="center"/>
    </xf>
    <xf numFmtId="0" fontId="6" fillId="2" borderId="0" xfId="0" applyFont="1" applyFill="1" applyAlignment="1">
      <alignment horizontal="left"/>
    </xf>
    <xf numFmtId="0" fontId="6" fillId="2" borderId="0" xfId="0" applyFont="1" applyFill="1"/>
    <xf numFmtId="0" fontId="6" fillId="2" borderId="0" xfId="0" applyFont="1" applyFill="1" applyAlignment="1">
      <alignment horizontal="center"/>
    </xf>
    <xf numFmtId="0" fontId="5" fillId="2" borderId="2" xfId="0" applyFont="1" applyFill="1" applyBorder="1" applyAlignment="1">
      <alignment horizontal="left"/>
    </xf>
    <xf numFmtId="0" fontId="5" fillId="2" borderId="2" xfId="0" applyFont="1" applyFill="1" applyBorder="1" applyAlignment="1">
      <alignment horizontal="center"/>
    </xf>
    <xf numFmtId="0" fontId="5" fillId="2" borderId="2" xfId="0" applyFont="1" applyFill="1" applyBorder="1" applyAlignment="1">
      <alignment horizontal="left" wrapText="1"/>
    </xf>
    <xf numFmtId="0" fontId="9" fillId="2" borderId="2" xfId="1" applyFont="1" applyFill="1" applyBorder="1" applyAlignment="1">
      <alignment horizontal="left"/>
    </xf>
    <xf numFmtId="164" fontId="5" fillId="2" borderId="2" xfId="0" applyNumberFormat="1" applyFont="1" applyFill="1" applyBorder="1" applyAlignment="1">
      <alignment horizontal="center" wrapText="1"/>
    </xf>
    <xf numFmtId="164" fontId="5" fillId="2" borderId="2" xfId="0" quotePrefix="1" applyNumberFormat="1" applyFont="1" applyFill="1" applyBorder="1" applyAlignment="1">
      <alignment horizontal="left" wrapText="1"/>
    </xf>
    <xf numFmtId="0" fontId="8" fillId="2" borderId="2" xfId="1" applyFont="1" applyFill="1" applyBorder="1" applyAlignment="1">
      <alignment horizontal="left"/>
    </xf>
    <xf numFmtId="164" fontId="5" fillId="2" borderId="2" xfId="0" applyNumberFormat="1" applyFont="1" applyFill="1" applyBorder="1" applyAlignment="1">
      <alignment horizontal="left"/>
    </xf>
    <xf numFmtId="164" fontId="5" fillId="2" borderId="2" xfId="0" applyNumberFormat="1" applyFont="1" applyFill="1" applyBorder="1" applyAlignment="1">
      <alignment horizontal="center"/>
    </xf>
    <xf numFmtId="164" fontId="10" fillId="2" borderId="2" xfId="1" applyNumberFormat="1" applyFont="1" applyFill="1" applyBorder="1" applyAlignment="1">
      <alignment horizontal="left"/>
    </xf>
    <xf numFmtId="164" fontId="5" fillId="2" borderId="2" xfId="0" applyNumberFormat="1" applyFont="1" applyFill="1" applyBorder="1" applyAlignment="1">
      <alignment horizontal="left" wrapText="1"/>
    </xf>
    <xf numFmtId="0" fontId="5" fillId="2" borderId="2" xfId="1" applyFont="1" applyFill="1" applyBorder="1" applyAlignment="1">
      <alignment horizontal="left" wrapText="1"/>
    </xf>
    <xf numFmtId="164" fontId="8" fillId="2" borderId="2" xfId="1" applyNumberFormat="1" applyFont="1" applyFill="1" applyBorder="1" applyAlignment="1">
      <alignment horizontal="left"/>
    </xf>
    <xf numFmtId="0" fontId="9" fillId="2" borderId="2" xfId="1" quotePrefix="1" applyFont="1" applyFill="1" applyBorder="1" applyAlignment="1">
      <alignment horizontal="left"/>
    </xf>
    <xf numFmtId="164" fontId="9" fillId="2" borderId="2" xfId="1" quotePrefix="1" applyNumberFormat="1" applyFont="1" applyFill="1" applyBorder="1" applyAlignment="1">
      <alignment horizontal="left"/>
    </xf>
    <xf numFmtId="164" fontId="8" fillId="2" borderId="2" xfId="1" quotePrefix="1" applyNumberFormat="1" applyFont="1" applyFill="1" applyBorder="1" applyAlignment="1">
      <alignment horizontal="left"/>
    </xf>
    <xf numFmtId="0" fontId="5" fillId="2" borderId="2" xfId="0" quotePrefix="1" applyFont="1" applyFill="1" applyBorder="1" applyAlignment="1">
      <alignment horizontal="left" wrapText="1"/>
    </xf>
    <xf numFmtId="0" fontId="11" fillId="2" borderId="0" xfId="0" applyFont="1" applyFill="1" applyAlignment="1">
      <alignment horizontal="left"/>
    </xf>
    <xf numFmtId="0" fontId="10" fillId="2" borderId="2" xfId="1" applyFont="1" applyFill="1" applyBorder="1" applyAlignment="1">
      <alignment horizontal="left"/>
    </xf>
    <xf numFmtId="0" fontId="13" fillId="2" borderId="2" xfId="0" applyFont="1" applyFill="1" applyBorder="1" applyAlignment="1">
      <alignment horizontal="left"/>
    </xf>
    <xf numFmtId="0" fontId="3" fillId="2" borderId="0" xfId="0" applyFont="1" applyFill="1" applyAlignment="1">
      <alignment vertical="top"/>
    </xf>
    <xf numFmtId="0" fontId="2" fillId="2" borderId="0" xfId="0" applyFont="1" applyFill="1" applyAlignment="1">
      <alignment horizontal="left" vertical="top"/>
    </xf>
    <xf numFmtId="0" fontId="2" fillId="2" borderId="0" xfId="0" applyFont="1" applyFill="1" applyAlignment="1">
      <alignment horizontal="left" vertical="top" wrapText="1"/>
    </xf>
    <xf numFmtId="0" fontId="4" fillId="2" borderId="0" xfId="0" applyFont="1" applyFill="1" applyAlignment="1">
      <alignment horizontal="left" vertical="top"/>
    </xf>
    <xf numFmtId="0" fontId="14" fillId="2" borderId="0" xfId="0" applyFont="1" applyFill="1" applyAlignment="1">
      <alignment horizontal="left" vertical="top"/>
    </xf>
    <xf numFmtId="0" fontId="1" fillId="2" borderId="2" xfId="1" applyFill="1" applyBorder="1" applyAlignment="1">
      <alignment horizontal="left" wrapText="1"/>
    </xf>
    <xf numFmtId="0" fontId="15" fillId="0" borderId="0" xfId="0" applyFont="1"/>
    <xf numFmtId="164" fontId="1" fillId="2" borderId="2" xfId="1" applyNumberFormat="1" applyFill="1" applyBorder="1" applyAlignment="1">
      <alignment horizontal="left"/>
    </xf>
    <xf numFmtId="0" fontId="10" fillId="2" borderId="2" xfId="1" applyFont="1" applyFill="1" applyBorder="1" applyAlignment="1">
      <alignment horizontal="lef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FFD965"/>
      </a:hlink>
      <a:folHlink>
        <a:srgbClr val="FEE599"/>
      </a:folHlink>
    </a:clrScheme>
    <a:fontScheme name="Custom 1">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google.com/calendar" TargetMode="External"/><Relationship Id="rId13" Type="http://schemas.openxmlformats.org/officeDocument/2006/relationships/hyperlink" Target="https://regex101.com/" TargetMode="External"/><Relationship Id="rId18" Type="http://schemas.openxmlformats.org/officeDocument/2006/relationships/hyperlink" Target="https://www.google.com/search?num=50&amp;safe=off&amp;site=&amp;source=hp&amp;q=REPLACEME+site%3Areddit.com&amp;btnG=Search&amp;oq=&amp;gs_l=" TargetMode="External"/><Relationship Id="rId3" Type="http://schemas.openxmlformats.org/officeDocument/2006/relationships/hyperlink" Target="https://duckduckgo.com/?q=REPLACEME" TargetMode="External"/><Relationship Id="rId7" Type="http://schemas.openxmlformats.org/officeDocument/2006/relationships/hyperlink" Target="https://mail.google.com/" TargetMode="External"/><Relationship Id="rId12" Type="http://schemas.openxmlformats.org/officeDocument/2006/relationships/hyperlink" Target="https://keep.google.com/" TargetMode="External"/><Relationship Id="rId17" Type="http://schemas.openxmlformats.org/officeDocument/2006/relationships/hyperlink" Target="https://vincienergies.sharepoint.com/:x:/r/sites/AxiansPSManagedServicesTeam/Documents%20partages/General/Ochtendcontrole/Whiteboard%202.0.xlsx?d=w8f40518b1395443bbc43f59c0c153edc&amp;csf=1&amp;web=1&amp;e=2lxaND" TargetMode="External"/><Relationship Id="rId2" Type="http://schemas.openxmlformats.org/officeDocument/2006/relationships/hyperlink" Target="https://www.youtube.com/results?search_query=REPLACEME" TargetMode="External"/><Relationship Id="rId16" Type="http://schemas.openxmlformats.org/officeDocument/2006/relationships/hyperlink" Target="https://axians.topdesk.net/tas/secure/incident?action=lookup&amp;lookup=naam&amp;lookupValue=REPLACEME" TargetMode="External"/><Relationship Id="rId20" Type="http://schemas.openxmlformats.org/officeDocument/2006/relationships/printerSettings" Target="../printerSettings/printerSettings1.bin"/><Relationship Id="rId1" Type="http://schemas.openxmlformats.org/officeDocument/2006/relationships/hyperlink" Target="https://www.google.com/search?num=50&amp;safe=off&amp;site=&amp;source=hp&amp;q=REPLACEME&amp;btnG=Search&amp;oq=&amp;gs_l=" TargetMode="External"/><Relationship Id="rId6" Type="http://schemas.openxmlformats.org/officeDocument/2006/relationships/hyperlink" Target="https://weawow.com/" TargetMode="External"/><Relationship Id="rId11" Type="http://schemas.openxmlformats.org/officeDocument/2006/relationships/hyperlink" Target="https://web.whatsapp.com/" TargetMode="External"/><Relationship Id="rId5" Type="http://schemas.openxmlformats.org/officeDocument/2006/relationships/hyperlink" Target="https://www.google.com/maps/" TargetMode="External"/><Relationship Id="rId15" Type="http://schemas.openxmlformats.org/officeDocument/2006/relationships/hyperlink" Target="https://open.spotify.com/search/REPLACEME" TargetMode="External"/><Relationship Id="rId10" Type="http://schemas.openxmlformats.org/officeDocument/2006/relationships/hyperlink" Target="http://www.reddit.com/" TargetMode="External"/><Relationship Id="rId19" Type="http://schemas.openxmlformats.org/officeDocument/2006/relationships/hyperlink" Target="https://www.perplexity.ai/search?q=REPLACEME" TargetMode="External"/><Relationship Id="rId4" Type="http://schemas.openxmlformats.org/officeDocument/2006/relationships/hyperlink" Target="https://www.google.com/search?&amp;q=REPLACEME" TargetMode="External"/><Relationship Id="rId9" Type="http://schemas.openxmlformats.org/officeDocument/2006/relationships/hyperlink" Target="http://www.drive.google.com/" TargetMode="External"/><Relationship Id="rId14" Type="http://schemas.openxmlformats.org/officeDocument/2006/relationships/hyperlink" Target="https://github.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482"/>
  <sheetViews>
    <sheetView tabSelected="1" topLeftCell="A70" zoomScaleNormal="100" workbookViewId="0">
      <selection activeCell="D91" sqref="D91"/>
    </sheetView>
  </sheetViews>
  <sheetFormatPr defaultColWidth="13.5" defaultRowHeight="18" customHeight="1" x14ac:dyDescent="0.2"/>
  <cols>
    <col min="1" max="1" width="12.25" style="1" bestFit="1" customWidth="1"/>
    <col min="2" max="2" width="21.375" style="1" customWidth="1"/>
    <col min="3" max="3" width="20.375" style="1" customWidth="1"/>
    <col min="4" max="4" width="50.125" style="1" customWidth="1"/>
    <col min="5" max="5" width="8.875" style="5" bestFit="1" customWidth="1"/>
    <col min="6" max="6" width="94.875" style="1" customWidth="1"/>
    <col min="7" max="7" width="68.25" style="1" customWidth="1"/>
    <col min="8" max="16384" width="13.5" style="1"/>
  </cols>
  <sheetData>
    <row r="1" spans="1:9" ht="18" customHeight="1" x14ac:dyDescent="0.2">
      <c r="A1" s="6" t="s">
        <v>176</v>
      </c>
      <c r="B1" s="1" t="str" cm="1">
        <f t="array" aca="1" ref="B1" ca="1">_xlfn.CONCAT(LEFT(CELL("filename"),FIND("[",CELL("filename"))-1),C1)</f>
        <v>C:\Users\mende\Documents\Programming\ahk\Personal_rep\AHK scripts\LNCHR-pub-master\LNCHR-Commands.ahk</v>
      </c>
      <c r="C1" s="1" t="s">
        <v>418</v>
      </c>
      <c r="F1" s="26" t="s">
        <v>178</v>
      </c>
    </row>
    <row r="2" spans="1:9" ht="18" customHeight="1" x14ac:dyDescent="0.2">
      <c r="A2" s="1" t="s">
        <v>340</v>
      </c>
      <c r="B2" s="1" t="str" cm="1">
        <f t="array" aca="1" ref="B2" ca="1">_xlfn.CONCAT(LEFT(CELL("filename"),FIND("[",CELL("filename"))-1),C2)</f>
        <v>C:\Users\mende\Documents\Programming\ahk\Personal_rep\AHK scripts\LNCHR-pub-master\HELP-Commands.txt</v>
      </c>
      <c r="C2" s="1" t="s">
        <v>419</v>
      </c>
      <c r="F2" s="6"/>
    </row>
    <row r="3" spans="1:9" ht="18" customHeight="1" x14ac:dyDescent="0.2">
      <c r="A3" s="7" t="s">
        <v>0</v>
      </c>
      <c r="B3" s="7" t="s">
        <v>190</v>
      </c>
      <c r="C3" s="7" t="s">
        <v>1</v>
      </c>
      <c r="D3" s="2" t="s">
        <v>46</v>
      </c>
      <c r="E3" s="8" t="s">
        <v>172</v>
      </c>
      <c r="F3" s="3" t="s">
        <v>16</v>
      </c>
      <c r="G3" s="3" t="s">
        <v>32</v>
      </c>
      <c r="H3" s="6"/>
      <c r="I3" s="4"/>
    </row>
    <row r="4" spans="1:9" ht="18" customHeight="1" x14ac:dyDescent="0.2">
      <c r="A4" s="9" t="s">
        <v>166</v>
      </c>
      <c r="B4" s="28" t="str">
        <f t="shared" ref="B4:B36" si="0">IF(A4="_work","UsingAnyWorkcomputer","")</f>
        <v>UsingAnyWorkcomputer</v>
      </c>
      <c r="C4" s="9" t="s">
        <v>22</v>
      </c>
      <c r="D4" s="9" t="s">
        <v>167</v>
      </c>
      <c r="E4" s="10"/>
      <c r="F4" s="9" t="s">
        <v>148</v>
      </c>
      <c r="G4" s="9"/>
      <c r="H4" s="9"/>
      <c r="I4" s="9"/>
    </row>
    <row r="5" spans="1:9" ht="18" customHeight="1" x14ac:dyDescent="0.2">
      <c r="A5" s="9" t="s">
        <v>166</v>
      </c>
      <c r="B5" s="28" t="str">
        <f t="shared" si="0"/>
        <v>UsingAnyWorkcomputer</v>
      </c>
      <c r="C5" s="9" t="s">
        <v>118</v>
      </c>
      <c r="D5" s="9" t="s">
        <v>116</v>
      </c>
      <c r="E5" s="10"/>
      <c r="F5" s="11" t="s">
        <v>117</v>
      </c>
      <c r="G5" s="9"/>
      <c r="H5" s="9"/>
      <c r="I5" s="9"/>
    </row>
    <row r="6" spans="1:9" ht="18" customHeight="1" x14ac:dyDescent="0.2">
      <c r="A6" s="9" t="s">
        <v>166</v>
      </c>
      <c r="B6" s="28" t="str">
        <f t="shared" ref="B6" si="1">IF(A6="_work","UsingAnyWorkcomputer","")</f>
        <v>UsingAnyWorkcomputer</v>
      </c>
      <c r="C6" s="9" t="s">
        <v>119</v>
      </c>
      <c r="D6" s="9" t="s">
        <v>168</v>
      </c>
      <c r="E6" s="10"/>
      <c r="F6" s="9" t="s">
        <v>149</v>
      </c>
      <c r="G6" s="9"/>
      <c r="H6" s="9"/>
      <c r="I6" s="9"/>
    </row>
    <row r="7" spans="1:9" ht="18" customHeight="1" x14ac:dyDescent="0.2">
      <c r="A7" s="9" t="s">
        <v>166</v>
      </c>
      <c r="B7" s="28" t="str">
        <f t="shared" si="0"/>
        <v>UsingAnyWorkcomputer</v>
      </c>
      <c r="C7" s="9" t="s">
        <v>355</v>
      </c>
      <c r="D7" s="9" t="s">
        <v>168</v>
      </c>
      <c r="E7" s="10"/>
      <c r="F7" s="9" t="s">
        <v>354</v>
      </c>
      <c r="G7" s="9"/>
      <c r="H7" s="9"/>
      <c r="I7" s="9"/>
    </row>
    <row r="8" spans="1:9" ht="18" customHeight="1" x14ac:dyDescent="0.2">
      <c r="A8" s="9" t="s">
        <v>166</v>
      </c>
      <c r="B8" s="28" t="str">
        <f t="shared" ref="B8" si="2">IF(A8="_work","UsingAnyWorkcomputer","")</f>
        <v>UsingAnyWorkcomputer</v>
      </c>
      <c r="C8" s="9" t="s">
        <v>356</v>
      </c>
      <c r="D8" s="9" t="s">
        <v>168</v>
      </c>
      <c r="E8" s="10"/>
      <c r="F8" s="9" t="s">
        <v>357</v>
      </c>
      <c r="G8" s="9"/>
      <c r="H8" s="9"/>
      <c r="I8" s="9"/>
    </row>
    <row r="9" spans="1:9" ht="18" customHeight="1" x14ac:dyDescent="0.25">
      <c r="A9" s="9" t="s">
        <v>166</v>
      </c>
      <c r="B9" s="28" t="str">
        <f t="shared" si="0"/>
        <v>UsingAnyWorkcomputer</v>
      </c>
      <c r="C9" s="9" t="s">
        <v>215</v>
      </c>
      <c r="D9" s="9" t="s">
        <v>218</v>
      </c>
      <c r="E9" s="10"/>
      <c r="F9" s="34" t="s">
        <v>220</v>
      </c>
      <c r="G9" s="9"/>
      <c r="H9" s="9"/>
      <c r="I9" s="9"/>
    </row>
    <row r="10" spans="1:9" ht="18" customHeight="1" x14ac:dyDescent="0.25">
      <c r="A10" s="9" t="s">
        <v>166</v>
      </c>
      <c r="B10" s="28" t="str">
        <f t="shared" si="0"/>
        <v>UsingAnyWorkcomputer</v>
      </c>
      <c r="C10" s="9" t="s">
        <v>221</v>
      </c>
      <c r="D10" s="9" t="s">
        <v>219</v>
      </c>
      <c r="E10" s="10"/>
      <c r="F10" s="34" t="s">
        <v>374</v>
      </c>
      <c r="G10" s="9"/>
      <c r="H10" s="9"/>
      <c r="I10" s="9"/>
    </row>
    <row r="11" spans="1:9" ht="18" customHeight="1" x14ac:dyDescent="0.25">
      <c r="A11" s="9" t="s">
        <v>166</v>
      </c>
      <c r="B11" s="28" t="str">
        <f t="shared" si="0"/>
        <v>UsingAnyWorkcomputer</v>
      </c>
      <c r="C11" s="9" t="s">
        <v>216</v>
      </c>
      <c r="D11" s="9" t="s">
        <v>217</v>
      </c>
      <c r="E11" s="10"/>
      <c r="F11" s="34" t="s">
        <v>380</v>
      </c>
      <c r="G11" s="9"/>
      <c r="H11" s="9"/>
      <c r="I11" s="9"/>
    </row>
    <row r="12" spans="1:9" ht="18" customHeight="1" x14ac:dyDescent="0.25">
      <c r="A12" s="9" t="s">
        <v>166</v>
      </c>
      <c r="B12" s="28" t="str">
        <f t="shared" si="0"/>
        <v>UsingAnyWorkcomputer</v>
      </c>
      <c r="C12" s="9" t="s">
        <v>222</v>
      </c>
      <c r="D12" s="9" t="s">
        <v>223</v>
      </c>
      <c r="E12" s="10"/>
      <c r="F12" s="34" t="s">
        <v>375</v>
      </c>
      <c r="G12" s="9"/>
      <c r="H12" s="9"/>
      <c r="I12" s="9"/>
    </row>
    <row r="13" spans="1:9" ht="18" customHeight="1" x14ac:dyDescent="0.25">
      <c r="A13" s="9" t="s">
        <v>166</v>
      </c>
      <c r="B13" s="28" t="str">
        <f t="shared" si="0"/>
        <v>UsingAnyWorkcomputer</v>
      </c>
      <c r="C13" s="9" t="s">
        <v>341</v>
      </c>
      <c r="D13" s="9" t="s">
        <v>342</v>
      </c>
      <c r="E13" s="10"/>
      <c r="F13" s="34" t="s">
        <v>376</v>
      </c>
      <c r="G13" s="9"/>
      <c r="H13" s="9"/>
      <c r="I13" s="9"/>
    </row>
    <row r="14" spans="1:9" ht="18" customHeight="1" x14ac:dyDescent="0.25">
      <c r="A14" s="9" t="s">
        <v>166</v>
      </c>
      <c r="B14" s="28" t="str">
        <f t="shared" si="0"/>
        <v>UsingAnyWorkcomputer</v>
      </c>
      <c r="C14" s="9" t="s">
        <v>409</v>
      </c>
      <c r="D14" s="9" t="s">
        <v>410</v>
      </c>
      <c r="E14" s="10"/>
      <c r="F14" s="34" t="s">
        <v>411</v>
      </c>
      <c r="G14" s="9"/>
      <c r="H14" s="9"/>
      <c r="I14" s="9"/>
    </row>
    <row r="15" spans="1:9" ht="18" customHeight="1" x14ac:dyDescent="0.2">
      <c r="A15" s="9" t="s">
        <v>15</v>
      </c>
      <c r="B15" s="28" t="str">
        <f t="shared" si="0"/>
        <v/>
      </c>
      <c r="C15" s="9" t="s">
        <v>134</v>
      </c>
      <c r="D15" s="11" t="s">
        <v>135</v>
      </c>
      <c r="E15" s="13" t="s">
        <v>62</v>
      </c>
      <c r="F15" s="14" t="s">
        <v>158</v>
      </c>
      <c r="G15" s="9"/>
      <c r="H15" s="9"/>
      <c r="I15" s="9"/>
    </row>
    <row r="16" spans="1:9" ht="18" customHeight="1" x14ac:dyDescent="0.2">
      <c r="A16" s="9" t="s">
        <v>15</v>
      </c>
      <c r="B16" s="28" t="str">
        <f t="shared" si="0"/>
        <v/>
      </c>
      <c r="C16" s="9" t="s">
        <v>67</v>
      </c>
      <c r="D16" s="11" t="s">
        <v>40</v>
      </c>
      <c r="E16" s="13" t="s">
        <v>53</v>
      </c>
      <c r="F16" s="14" t="s">
        <v>153</v>
      </c>
      <c r="G16" s="9"/>
      <c r="H16" s="9"/>
      <c r="I16" s="9"/>
    </row>
    <row r="17" spans="1:9" ht="18" customHeight="1" x14ac:dyDescent="0.2">
      <c r="A17" s="9" t="s">
        <v>15</v>
      </c>
      <c r="B17" s="28" t="str">
        <f t="shared" si="0"/>
        <v/>
      </c>
      <c r="C17" s="9" t="s">
        <v>69</v>
      </c>
      <c r="D17" s="11" t="s">
        <v>80</v>
      </c>
      <c r="E17" s="13" t="s">
        <v>53</v>
      </c>
      <c r="F17" s="14" t="s">
        <v>115</v>
      </c>
      <c r="G17" s="15" t="s">
        <v>72</v>
      </c>
      <c r="H17" s="9"/>
      <c r="I17" s="9"/>
    </row>
    <row r="18" spans="1:9" ht="18" customHeight="1" x14ac:dyDescent="0.2">
      <c r="A18" s="9" t="s">
        <v>15</v>
      </c>
      <c r="B18" s="28" t="str">
        <f t="shared" si="0"/>
        <v/>
      </c>
      <c r="C18" s="9" t="s">
        <v>105</v>
      </c>
      <c r="D18" s="11" t="s">
        <v>106</v>
      </c>
      <c r="E18" s="13" t="s">
        <v>53</v>
      </c>
      <c r="F18" s="16" t="s">
        <v>191</v>
      </c>
      <c r="G18" s="15"/>
      <c r="H18" s="9"/>
      <c r="I18" s="9"/>
    </row>
    <row r="19" spans="1:9" ht="18" customHeight="1" x14ac:dyDescent="0.2">
      <c r="A19" s="9" t="s">
        <v>15</v>
      </c>
      <c r="B19" s="28" t="str">
        <f t="shared" si="0"/>
        <v/>
      </c>
      <c r="C19" s="9" t="s">
        <v>70</v>
      </c>
      <c r="D19" s="9" t="s">
        <v>39</v>
      </c>
      <c r="E19" s="17"/>
      <c r="F19" s="16" t="s">
        <v>39</v>
      </c>
      <c r="G19" s="9"/>
      <c r="H19" s="9"/>
      <c r="I19" s="9"/>
    </row>
    <row r="20" spans="1:9" ht="18" customHeight="1" x14ac:dyDescent="0.2">
      <c r="A20" s="9" t="s">
        <v>15</v>
      </c>
      <c r="B20" s="28" t="str">
        <f t="shared" si="0"/>
        <v/>
      </c>
      <c r="C20" s="9" t="s">
        <v>68</v>
      </c>
      <c r="D20" s="9" t="s">
        <v>41</v>
      </c>
      <c r="E20" s="17" t="s">
        <v>53</v>
      </c>
      <c r="F20" s="16" t="s">
        <v>155</v>
      </c>
      <c r="G20" s="9"/>
      <c r="H20" s="9"/>
      <c r="I20" s="9"/>
    </row>
    <row r="21" spans="1:9" ht="18" customHeight="1" x14ac:dyDescent="0.2">
      <c r="A21" s="9" t="s">
        <v>15</v>
      </c>
      <c r="B21" s="28" t="str">
        <f t="shared" si="0"/>
        <v/>
      </c>
      <c r="C21" s="9" t="s">
        <v>107</v>
      </c>
      <c r="D21" s="11" t="s">
        <v>108</v>
      </c>
      <c r="E21" s="13" t="s">
        <v>53</v>
      </c>
      <c r="F21" s="16" t="s">
        <v>154</v>
      </c>
      <c r="G21" s="15"/>
      <c r="H21" s="9"/>
      <c r="I21" s="9"/>
    </row>
    <row r="22" spans="1:9" ht="18" customHeight="1" x14ac:dyDescent="0.2">
      <c r="A22" s="9" t="s">
        <v>15</v>
      </c>
      <c r="B22" s="28" t="str">
        <f t="shared" si="0"/>
        <v/>
      </c>
      <c r="C22" s="9" t="s">
        <v>73</v>
      </c>
      <c r="D22" s="11" t="s">
        <v>45</v>
      </c>
      <c r="E22" s="13" t="s">
        <v>53</v>
      </c>
      <c r="F22" s="14" t="s">
        <v>193</v>
      </c>
      <c r="G22" s="9"/>
      <c r="H22" s="9"/>
      <c r="I22" s="9"/>
    </row>
    <row r="23" spans="1:9" ht="18" customHeight="1" x14ac:dyDescent="0.2">
      <c r="A23" s="9" t="s">
        <v>10</v>
      </c>
      <c r="B23" s="28" t="str">
        <f t="shared" si="0"/>
        <v/>
      </c>
      <c r="C23" s="9" t="s">
        <v>132</v>
      </c>
      <c r="D23" s="9" t="s">
        <v>133</v>
      </c>
      <c r="E23" s="10" t="s">
        <v>53</v>
      </c>
      <c r="F23" s="18" t="s">
        <v>192</v>
      </c>
      <c r="G23" s="9"/>
      <c r="H23" s="9"/>
      <c r="I23" s="9"/>
    </row>
    <row r="24" spans="1:9" ht="18" customHeight="1" x14ac:dyDescent="0.2">
      <c r="A24" s="9" t="s">
        <v>10</v>
      </c>
      <c r="B24" s="28" t="str">
        <f t="shared" si="0"/>
        <v/>
      </c>
      <c r="C24" s="9" t="s">
        <v>212</v>
      </c>
      <c r="D24" s="9" t="s">
        <v>213</v>
      </c>
      <c r="E24" s="10" t="s">
        <v>53</v>
      </c>
      <c r="F24" s="18" t="s">
        <v>214</v>
      </c>
      <c r="G24" s="9"/>
      <c r="H24" s="9"/>
      <c r="I24" s="9"/>
    </row>
    <row r="25" spans="1:9" ht="18" customHeight="1" x14ac:dyDescent="0.2">
      <c r="A25" s="9" t="s">
        <v>10</v>
      </c>
      <c r="B25" s="28" t="str">
        <f t="shared" si="0"/>
        <v/>
      </c>
      <c r="C25" s="9" t="s">
        <v>37</v>
      </c>
      <c r="D25" s="9" t="s">
        <v>38</v>
      </c>
      <c r="E25" s="10" t="s">
        <v>53</v>
      </c>
      <c r="F25" s="9" t="s">
        <v>38</v>
      </c>
      <c r="G25" s="9"/>
      <c r="H25" s="9"/>
      <c r="I25" s="9"/>
    </row>
    <row r="26" spans="1:9" ht="18" customHeight="1" x14ac:dyDescent="0.2">
      <c r="A26" s="9" t="s">
        <v>10</v>
      </c>
      <c r="B26" s="28" t="str">
        <f t="shared" si="0"/>
        <v/>
      </c>
      <c r="C26" s="9" t="s">
        <v>35</v>
      </c>
      <c r="D26" s="9" t="s">
        <v>36</v>
      </c>
      <c r="E26" s="10" t="s">
        <v>53</v>
      </c>
      <c r="F26" s="15" t="str">
        <f>HYPERLINK("C:\Windows\system32\mspaint.exe")</f>
        <v>C:\Windows\system32\mspaint.exe</v>
      </c>
      <c r="G26" s="9"/>
      <c r="H26" s="9"/>
      <c r="I26" s="9"/>
    </row>
    <row r="27" spans="1:9" ht="18" customHeight="1" x14ac:dyDescent="0.2">
      <c r="A27" s="9" t="s">
        <v>10</v>
      </c>
      <c r="B27" s="28" t="str">
        <f t="shared" si="0"/>
        <v/>
      </c>
      <c r="C27" s="9" t="s">
        <v>179</v>
      </c>
      <c r="D27" s="9" t="s">
        <v>180</v>
      </c>
      <c r="E27" s="10" t="s">
        <v>53</v>
      </c>
      <c r="F27" s="12" t="s">
        <v>351</v>
      </c>
      <c r="G27" s="9"/>
      <c r="H27" s="9"/>
      <c r="I27" s="9"/>
    </row>
    <row r="28" spans="1:9" ht="18" customHeight="1" x14ac:dyDescent="0.2">
      <c r="A28" s="9" t="s">
        <v>10</v>
      </c>
      <c r="B28" s="28" t="str">
        <f t="shared" si="0"/>
        <v/>
      </c>
      <c r="C28" s="9" t="s">
        <v>350</v>
      </c>
      <c r="D28" s="9" t="s">
        <v>345</v>
      </c>
      <c r="E28" s="10" t="s">
        <v>53</v>
      </c>
      <c r="F28" s="16" t="s">
        <v>346</v>
      </c>
      <c r="G28" s="9"/>
      <c r="H28" s="9"/>
      <c r="I28" s="9"/>
    </row>
    <row r="29" spans="1:9" ht="18" customHeight="1" x14ac:dyDescent="0.2">
      <c r="A29" s="9" t="s">
        <v>10</v>
      </c>
      <c r="B29" s="28" t="str">
        <f t="shared" si="0"/>
        <v/>
      </c>
      <c r="C29" s="9" t="s">
        <v>347</v>
      </c>
      <c r="D29" s="9" t="s">
        <v>348</v>
      </c>
      <c r="E29" s="10"/>
      <c r="F29" s="16" t="s">
        <v>349</v>
      </c>
      <c r="G29" s="9"/>
      <c r="H29" s="9"/>
      <c r="I29" s="9"/>
    </row>
    <row r="30" spans="1:9" ht="18" customHeight="1" x14ac:dyDescent="0.2">
      <c r="A30" s="9" t="s">
        <v>95</v>
      </c>
      <c r="B30" s="28" t="str">
        <f t="shared" si="0"/>
        <v/>
      </c>
      <c r="C30" s="9" t="s">
        <v>111</v>
      </c>
      <c r="D30" s="9" t="s">
        <v>112</v>
      </c>
      <c r="E30" s="10"/>
      <c r="F30" s="11" t="s">
        <v>177</v>
      </c>
      <c r="G30" s="9"/>
      <c r="H30" s="9"/>
      <c r="I30" s="9"/>
    </row>
    <row r="31" spans="1:9" ht="18" customHeight="1" x14ac:dyDescent="0.2">
      <c r="A31" s="9" t="s">
        <v>11</v>
      </c>
      <c r="B31" s="28" t="str">
        <f t="shared" si="0"/>
        <v/>
      </c>
      <c r="C31" s="9" t="s">
        <v>13</v>
      </c>
      <c r="D31" s="9" t="s">
        <v>43</v>
      </c>
      <c r="E31" s="17" t="s">
        <v>53</v>
      </c>
      <c r="F31" s="16" t="s">
        <v>208</v>
      </c>
      <c r="G31" s="9"/>
      <c r="H31" s="9"/>
      <c r="I31" s="9"/>
    </row>
    <row r="32" spans="1:9" ht="18" customHeight="1" x14ac:dyDescent="0.2">
      <c r="A32" s="9" t="s">
        <v>11</v>
      </c>
      <c r="B32" s="28" t="str">
        <f t="shared" si="0"/>
        <v/>
      </c>
      <c r="C32" s="9" t="s">
        <v>12</v>
      </c>
      <c r="D32" s="9" t="s">
        <v>42</v>
      </c>
      <c r="E32" s="17" t="s">
        <v>53</v>
      </c>
      <c r="F32" s="16" t="s">
        <v>165</v>
      </c>
      <c r="G32" s="9"/>
      <c r="H32" s="9"/>
      <c r="I32" s="9"/>
    </row>
    <row r="33" spans="1:9" ht="18" customHeight="1" x14ac:dyDescent="0.2">
      <c r="A33" s="9" t="s">
        <v>11</v>
      </c>
      <c r="B33" s="28" t="str">
        <f t="shared" si="0"/>
        <v/>
      </c>
      <c r="C33" s="9" t="s">
        <v>170</v>
      </c>
      <c r="D33" s="9" t="s">
        <v>171</v>
      </c>
      <c r="E33" s="17" t="s">
        <v>53</v>
      </c>
      <c r="F33" s="16" t="s">
        <v>169</v>
      </c>
      <c r="G33" s="9"/>
      <c r="I33" s="9"/>
    </row>
    <row r="34" spans="1:9" ht="18" customHeight="1" x14ac:dyDescent="0.2">
      <c r="A34" s="9" t="s">
        <v>11</v>
      </c>
      <c r="B34" s="28" t="str">
        <f t="shared" si="0"/>
        <v/>
      </c>
      <c r="C34" s="9" t="s">
        <v>211</v>
      </c>
      <c r="D34" s="9" t="s">
        <v>210</v>
      </c>
      <c r="E34" s="10" t="s">
        <v>53</v>
      </c>
      <c r="F34" s="9" t="s">
        <v>209</v>
      </c>
      <c r="G34" s="9"/>
      <c r="I34" s="9"/>
    </row>
    <row r="35" spans="1:9" ht="18" customHeight="1" x14ac:dyDescent="0.2">
      <c r="A35" s="9" t="s">
        <v>11</v>
      </c>
      <c r="B35" s="28" t="str">
        <f t="shared" si="0"/>
        <v/>
      </c>
      <c r="C35" s="9" t="s">
        <v>14</v>
      </c>
      <c r="D35" s="11" t="s">
        <v>44</v>
      </c>
      <c r="E35" s="13" t="s">
        <v>53</v>
      </c>
      <c r="F35" s="19" t="s">
        <v>55</v>
      </c>
      <c r="G35" s="9"/>
      <c r="I35" s="9"/>
    </row>
    <row r="36" spans="1:9" ht="18" customHeight="1" x14ac:dyDescent="0.2">
      <c r="A36" s="9" t="s">
        <v>11</v>
      </c>
      <c r="B36" s="28" t="str">
        <f t="shared" si="0"/>
        <v/>
      </c>
      <c r="C36" s="9" t="s">
        <v>159</v>
      </c>
      <c r="D36" s="9" t="s">
        <v>160</v>
      </c>
      <c r="E36" s="10" t="s">
        <v>53</v>
      </c>
      <c r="F36" s="9" t="s">
        <v>161</v>
      </c>
      <c r="G36" s="9" t="s">
        <v>162</v>
      </c>
      <c r="H36" s="9"/>
      <c r="I36" s="9"/>
    </row>
    <row r="37" spans="1:9" ht="18" customHeight="1" x14ac:dyDescent="0.2">
      <c r="A37" s="9" t="s">
        <v>11</v>
      </c>
      <c r="B37" s="28" t="str">
        <f t="shared" ref="B37:B79" si="3">IF(A37="_work","UsingAnyWorkcomputer","")</f>
        <v/>
      </c>
      <c r="C37" s="9" t="s">
        <v>184</v>
      </c>
      <c r="D37" s="9" t="s">
        <v>185</v>
      </c>
      <c r="E37" s="10" t="s">
        <v>53</v>
      </c>
      <c r="F37" s="9" t="s">
        <v>186</v>
      </c>
      <c r="G37" s="9"/>
      <c r="H37" s="9"/>
      <c r="I37" s="9"/>
    </row>
    <row r="38" spans="1:9" ht="18" customHeight="1" x14ac:dyDescent="0.2">
      <c r="A38" s="9" t="s">
        <v>2</v>
      </c>
      <c r="B38" s="28" t="str">
        <f t="shared" si="3"/>
        <v/>
      </c>
      <c r="C38" s="9" t="s">
        <v>59</v>
      </c>
      <c r="D38" s="9" t="s">
        <v>71</v>
      </c>
      <c r="E38" s="10" t="s">
        <v>62</v>
      </c>
      <c r="F38" s="20" t="s">
        <v>150</v>
      </c>
      <c r="G38" s="15"/>
      <c r="H38" s="9"/>
      <c r="I38" s="9"/>
    </row>
    <row r="39" spans="1:9" ht="18" customHeight="1" x14ac:dyDescent="0.2">
      <c r="A39" s="9" t="s">
        <v>2</v>
      </c>
      <c r="B39" s="28" t="str">
        <f t="shared" si="3"/>
        <v/>
      </c>
      <c r="C39" s="9" t="s">
        <v>3</v>
      </c>
      <c r="D39" s="9" t="s">
        <v>4</v>
      </c>
      <c r="E39" s="10" t="s">
        <v>5</v>
      </c>
      <c r="F39" s="9" t="s">
        <v>26</v>
      </c>
      <c r="G39" s="9"/>
      <c r="H39" s="9"/>
      <c r="I39" s="9"/>
    </row>
    <row r="40" spans="1:9" ht="18" customHeight="1" x14ac:dyDescent="0.2">
      <c r="A40" s="9" t="s">
        <v>2</v>
      </c>
      <c r="B40" s="28" t="str">
        <f t="shared" si="3"/>
        <v/>
      </c>
      <c r="C40" s="9" t="s">
        <v>6</v>
      </c>
      <c r="D40" s="9" t="s">
        <v>7</v>
      </c>
      <c r="E40" s="17" t="s">
        <v>5</v>
      </c>
      <c r="F40" s="21" t="s">
        <v>377</v>
      </c>
      <c r="G40" s="9"/>
      <c r="H40" s="9"/>
      <c r="I40" s="9"/>
    </row>
    <row r="41" spans="1:9" ht="18" customHeight="1" x14ac:dyDescent="0.2">
      <c r="A41" s="9" t="s">
        <v>2</v>
      </c>
      <c r="B41" s="28" t="str">
        <f t="shared" si="3"/>
        <v/>
      </c>
      <c r="C41" s="9" t="s">
        <v>28</v>
      </c>
      <c r="D41" s="9" t="s">
        <v>29</v>
      </c>
      <c r="E41" s="10" t="s">
        <v>5</v>
      </c>
      <c r="F41" s="15" t="s">
        <v>31</v>
      </c>
      <c r="G41" s="15" t="s">
        <v>30</v>
      </c>
      <c r="H41" s="9"/>
      <c r="I41" s="9"/>
    </row>
    <row r="42" spans="1:9" ht="18" customHeight="1" x14ac:dyDescent="0.2">
      <c r="A42" s="9" t="s">
        <v>2</v>
      </c>
      <c r="B42" s="28" t="str">
        <f t="shared" si="3"/>
        <v/>
      </c>
      <c r="C42" s="9" t="s">
        <v>66</v>
      </c>
      <c r="D42" s="9" t="s">
        <v>52</v>
      </c>
      <c r="E42" s="10" t="s">
        <v>62</v>
      </c>
      <c r="F42" s="11" t="s">
        <v>156</v>
      </c>
      <c r="G42" s="9"/>
      <c r="H42" s="9"/>
      <c r="I42" s="9"/>
    </row>
    <row r="43" spans="1:9" ht="18" customHeight="1" x14ac:dyDescent="0.25">
      <c r="A43" s="9" t="s">
        <v>2</v>
      </c>
      <c r="B43" s="28" t="str">
        <f t="shared" si="3"/>
        <v/>
      </c>
      <c r="C43" s="9" t="s">
        <v>88</v>
      </c>
      <c r="D43" s="9" t="s">
        <v>363</v>
      </c>
      <c r="E43" s="10" t="s">
        <v>5</v>
      </c>
      <c r="F43" s="36" t="s">
        <v>362</v>
      </c>
      <c r="G43" s="9"/>
      <c r="H43" s="9"/>
      <c r="I43" s="9"/>
    </row>
    <row r="44" spans="1:9" ht="18" customHeight="1" x14ac:dyDescent="0.2">
      <c r="A44" s="9" t="s">
        <v>2</v>
      </c>
      <c r="B44" s="28" t="str">
        <f t="shared" si="3"/>
        <v/>
      </c>
      <c r="C44" s="9" t="s">
        <v>187</v>
      </c>
      <c r="D44" s="9" t="s">
        <v>188</v>
      </c>
      <c r="E44" s="10" t="s">
        <v>5</v>
      </c>
      <c r="F44" s="11" t="s">
        <v>189</v>
      </c>
      <c r="G44" s="9"/>
      <c r="H44" s="9"/>
      <c r="I44" s="9"/>
    </row>
    <row r="45" spans="1:9" ht="18" customHeight="1" x14ac:dyDescent="0.2">
      <c r="A45" s="9" t="s">
        <v>2</v>
      </c>
      <c r="B45" s="28" t="str">
        <f t="shared" si="3"/>
        <v/>
      </c>
      <c r="C45" s="9" t="s">
        <v>392</v>
      </c>
      <c r="D45" s="9" t="s">
        <v>94</v>
      </c>
      <c r="E45" s="10" t="s">
        <v>5</v>
      </c>
      <c r="F45" s="12" t="s">
        <v>93</v>
      </c>
      <c r="G45" s="9"/>
      <c r="H45" s="9"/>
      <c r="I45" s="9"/>
    </row>
    <row r="46" spans="1:9" ht="18" customHeight="1" x14ac:dyDescent="0.25">
      <c r="A46" s="9" t="s">
        <v>2</v>
      </c>
      <c r="B46" s="28" t="str">
        <f t="shared" si="3"/>
        <v/>
      </c>
      <c r="C46" s="9" t="s">
        <v>8</v>
      </c>
      <c r="D46" s="9" t="s">
        <v>17</v>
      </c>
      <c r="E46" s="10" t="s">
        <v>5</v>
      </c>
      <c r="F46" s="34" t="s">
        <v>27</v>
      </c>
      <c r="G46" s="9"/>
      <c r="H46" s="9"/>
      <c r="I46" s="9"/>
    </row>
    <row r="47" spans="1:9" ht="18" customHeight="1" x14ac:dyDescent="0.25">
      <c r="A47" s="9" t="s">
        <v>2</v>
      </c>
      <c r="B47" s="28" t="str">
        <f t="shared" si="3"/>
        <v/>
      </c>
      <c r="C47" s="9" t="s">
        <v>417</v>
      </c>
      <c r="D47" s="9" t="s">
        <v>415</v>
      </c>
      <c r="E47" s="10" t="s">
        <v>5</v>
      </c>
      <c r="F47" s="34" t="s">
        <v>416</v>
      </c>
      <c r="G47" s="9"/>
      <c r="H47" s="9"/>
      <c r="I47" s="9"/>
    </row>
    <row r="48" spans="1:9" ht="18" customHeight="1" x14ac:dyDescent="0.2">
      <c r="A48" s="9" t="s">
        <v>9</v>
      </c>
      <c r="B48" s="28" t="str">
        <f t="shared" si="3"/>
        <v/>
      </c>
      <c r="C48" s="9" t="s">
        <v>364</v>
      </c>
      <c r="D48" s="9" t="s">
        <v>23</v>
      </c>
      <c r="E48" s="10" t="s">
        <v>53</v>
      </c>
      <c r="F48" s="15" t="s">
        <v>60</v>
      </c>
      <c r="G48" s="9"/>
      <c r="H48" s="9"/>
      <c r="I48" s="9"/>
    </row>
    <row r="49" spans="1:9" ht="18" customHeight="1" x14ac:dyDescent="0.2">
      <c r="A49" s="9" t="s">
        <v>9</v>
      </c>
      <c r="B49" s="28" t="str">
        <f t="shared" si="3"/>
        <v/>
      </c>
      <c r="C49" s="9" t="s">
        <v>18</v>
      </c>
      <c r="D49" s="9" t="s">
        <v>19</v>
      </c>
      <c r="E49" s="10" t="s">
        <v>53</v>
      </c>
      <c r="F49" s="22" t="s">
        <v>151</v>
      </c>
      <c r="G49" s="9"/>
      <c r="H49" s="9"/>
      <c r="I49" s="9"/>
    </row>
    <row r="50" spans="1:9" ht="18" customHeight="1" x14ac:dyDescent="0.2">
      <c r="A50" s="9" t="s">
        <v>9</v>
      </c>
      <c r="B50" s="28" t="str">
        <f t="shared" si="3"/>
        <v/>
      </c>
      <c r="C50" s="9" t="s">
        <v>84</v>
      </c>
      <c r="D50" s="9" t="s">
        <v>85</v>
      </c>
      <c r="E50" s="10" t="s">
        <v>53</v>
      </c>
      <c r="F50" s="12" t="s">
        <v>86</v>
      </c>
      <c r="G50" s="9"/>
      <c r="H50" s="9"/>
      <c r="I50" s="9"/>
    </row>
    <row r="51" spans="1:9" ht="18" customHeight="1" x14ac:dyDescent="0.2">
      <c r="A51" s="9" t="s">
        <v>9</v>
      </c>
      <c r="B51" s="28" t="str">
        <f t="shared" si="3"/>
        <v/>
      </c>
      <c r="C51" s="9" t="s">
        <v>33</v>
      </c>
      <c r="D51" s="9" t="s">
        <v>34</v>
      </c>
      <c r="E51" s="10" t="s">
        <v>53</v>
      </c>
      <c r="F51" s="23" t="s">
        <v>152</v>
      </c>
      <c r="G51" s="9"/>
      <c r="H51" s="9"/>
      <c r="I51" s="9"/>
    </row>
    <row r="52" spans="1:9" ht="18" customHeight="1" x14ac:dyDescent="0.2">
      <c r="A52" s="9" t="s">
        <v>9</v>
      </c>
      <c r="B52" s="28" t="str">
        <f t="shared" si="3"/>
        <v/>
      </c>
      <c r="C52" s="9" t="s">
        <v>77</v>
      </c>
      <c r="D52" s="9" t="s">
        <v>78</v>
      </c>
      <c r="E52" s="10" t="s">
        <v>53</v>
      </c>
      <c r="F52" s="12" t="s">
        <v>79</v>
      </c>
      <c r="G52" s="9"/>
      <c r="H52" s="9"/>
      <c r="I52" s="9"/>
    </row>
    <row r="53" spans="1:9" ht="18" customHeight="1" x14ac:dyDescent="0.2">
      <c r="A53" s="9" t="s">
        <v>9</v>
      </c>
      <c r="B53" s="28" t="str">
        <f t="shared" si="3"/>
        <v/>
      </c>
      <c r="C53" s="9" t="s">
        <v>24</v>
      </c>
      <c r="D53" s="9" t="s">
        <v>25</v>
      </c>
      <c r="E53" s="10" t="s">
        <v>53</v>
      </c>
      <c r="F53" s="15" t="s">
        <v>54</v>
      </c>
      <c r="G53" s="9"/>
      <c r="H53" s="9"/>
      <c r="I53" s="9"/>
    </row>
    <row r="54" spans="1:9" ht="18" customHeight="1" x14ac:dyDescent="0.2">
      <c r="A54" s="9" t="s">
        <v>9</v>
      </c>
      <c r="B54" s="28" t="str">
        <f t="shared" si="3"/>
        <v/>
      </c>
      <c r="C54" s="9" t="s">
        <v>20</v>
      </c>
      <c r="D54" s="9" t="s">
        <v>21</v>
      </c>
      <c r="E54" s="10" t="s">
        <v>53</v>
      </c>
      <c r="F54" s="24" t="s">
        <v>61</v>
      </c>
      <c r="G54" s="9"/>
      <c r="H54" s="9"/>
      <c r="I54" s="9"/>
    </row>
    <row r="55" spans="1:9" ht="18" customHeight="1" x14ac:dyDescent="0.2">
      <c r="A55" s="9" t="s">
        <v>9</v>
      </c>
      <c r="B55" s="28" t="str">
        <f t="shared" si="3"/>
        <v/>
      </c>
      <c r="C55" s="9" t="s">
        <v>82</v>
      </c>
      <c r="D55" s="9" t="s">
        <v>83</v>
      </c>
      <c r="E55" s="10" t="s">
        <v>53</v>
      </c>
      <c r="F55" s="12" t="s">
        <v>87</v>
      </c>
      <c r="G55" s="9"/>
      <c r="H55" s="9"/>
      <c r="I55" s="9"/>
    </row>
    <row r="56" spans="1:9" ht="18" customHeight="1" x14ac:dyDescent="0.2">
      <c r="A56" s="9" t="s">
        <v>9</v>
      </c>
      <c r="B56" s="28" t="str">
        <f t="shared" si="3"/>
        <v/>
      </c>
      <c r="C56" s="9" t="s">
        <v>47</v>
      </c>
      <c r="D56" s="9" t="s">
        <v>48</v>
      </c>
      <c r="E56" s="10" t="s">
        <v>53</v>
      </c>
      <c r="F56" s="15" t="s">
        <v>57</v>
      </c>
      <c r="G56" s="9"/>
      <c r="H56" s="9"/>
      <c r="I56" s="9"/>
    </row>
    <row r="57" spans="1:9" ht="18" customHeight="1" x14ac:dyDescent="0.2">
      <c r="A57" s="9" t="s">
        <v>9</v>
      </c>
      <c r="B57" s="28" t="str">
        <f t="shared" si="3"/>
        <v/>
      </c>
      <c r="C57" s="9" t="s">
        <v>74</v>
      </c>
      <c r="D57" s="9" t="s">
        <v>75</v>
      </c>
      <c r="E57" s="10" t="s">
        <v>53</v>
      </c>
      <c r="F57" s="12" t="s">
        <v>76</v>
      </c>
      <c r="G57" s="9"/>
      <c r="H57" s="9"/>
      <c r="I57" s="9"/>
    </row>
    <row r="58" spans="1:9" ht="18" customHeight="1" x14ac:dyDescent="0.2">
      <c r="A58" s="9" t="s">
        <v>365</v>
      </c>
      <c r="B58" s="28" t="s">
        <v>294</v>
      </c>
      <c r="C58" s="9" t="s">
        <v>131</v>
      </c>
      <c r="D58" s="9" t="s">
        <v>371</v>
      </c>
      <c r="E58" s="10" t="s">
        <v>53</v>
      </c>
      <c r="F58" s="12" t="s">
        <v>373</v>
      </c>
      <c r="G58" s="9"/>
      <c r="H58" s="9"/>
      <c r="I58" s="9"/>
    </row>
    <row r="59" spans="1:9" ht="18" customHeight="1" x14ac:dyDescent="0.2">
      <c r="A59" s="9" t="s">
        <v>365</v>
      </c>
      <c r="B59" s="28" t="s">
        <v>294</v>
      </c>
      <c r="C59" s="9" t="s">
        <v>367</v>
      </c>
      <c r="D59" s="9" t="s">
        <v>368</v>
      </c>
      <c r="E59" s="10" t="s">
        <v>53</v>
      </c>
      <c r="F59" s="12" t="s">
        <v>366</v>
      </c>
      <c r="G59" s="9"/>
      <c r="H59" s="9"/>
      <c r="I59" s="9"/>
    </row>
    <row r="60" spans="1:9" ht="18" customHeight="1" x14ac:dyDescent="0.2">
      <c r="A60" s="9" t="s">
        <v>365</v>
      </c>
      <c r="B60" s="28" t="s">
        <v>294</v>
      </c>
      <c r="C60" s="9" t="s">
        <v>372</v>
      </c>
      <c r="D60" s="9" t="s">
        <v>370</v>
      </c>
      <c r="E60" s="10" t="s">
        <v>53</v>
      </c>
      <c r="F60" s="12" t="s">
        <v>369</v>
      </c>
      <c r="G60" s="9"/>
      <c r="H60" s="9"/>
      <c r="I60" s="9"/>
    </row>
    <row r="61" spans="1:9" ht="18" customHeight="1" x14ac:dyDescent="0.2">
      <c r="A61" s="9" t="s">
        <v>49</v>
      </c>
      <c r="B61" s="28" t="str">
        <f t="shared" si="3"/>
        <v/>
      </c>
      <c r="C61" s="9" t="s">
        <v>164</v>
      </c>
      <c r="D61" s="9" t="s">
        <v>96</v>
      </c>
      <c r="E61" s="10" t="s">
        <v>53</v>
      </c>
      <c r="F61" s="14" t="s">
        <v>206</v>
      </c>
      <c r="G61" s="9"/>
      <c r="H61" s="9"/>
      <c r="I61" s="9"/>
    </row>
    <row r="62" spans="1:9" ht="18" customHeight="1" x14ac:dyDescent="0.2">
      <c r="A62" s="9" t="s">
        <v>49</v>
      </c>
      <c r="B62" s="28" t="str">
        <f t="shared" si="3"/>
        <v/>
      </c>
      <c r="C62" s="9" t="s">
        <v>89</v>
      </c>
      <c r="D62" s="9" t="s">
        <v>90</v>
      </c>
      <c r="E62" s="10" t="s">
        <v>53</v>
      </c>
      <c r="F62" s="9" t="s">
        <v>81</v>
      </c>
      <c r="G62" s="9"/>
      <c r="H62" s="9"/>
      <c r="I62" s="9"/>
    </row>
    <row r="63" spans="1:9" ht="18" customHeight="1" x14ac:dyDescent="0.2">
      <c r="A63" s="9" t="s">
        <v>49</v>
      </c>
      <c r="B63" s="28" t="str">
        <f t="shared" si="3"/>
        <v/>
      </c>
      <c r="C63" s="9" t="s">
        <v>101</v>
      </c>
      <c r="D63" s="9" t="s">
        <v>102</v>
      </c>
      <c r="E63" s="10" t="s">
        <v>136</v>
      </c>
      <c r="F63" s="9" t="s">
        <v>139</v>
      </c>
      <c r="G63" s="9"/>
      <c r="H63" s="9"/>
      <c r="I63" s="9"/>
    </row>
    <row r="64" spans="1:9" ht="18" customHeight="1" x14ac:dyDescent="0.2">
      <c r="A64" s="9" t="s">
        <v>49</v>
      </c>
      <c r="B64" s="28" t="str">
        <f t="shared" si="3"/>
        <v/>
      </c>
      <c r="C64" s="9" t="s">
        <v>63</v>
      </c>
      <c r="D64" s="9" t="s">
        <v>64</v>
      </c>
      <c r="E64" s="10" t="s">
        <v>53</v>
      </c>
      <c r="F64" s="9" t="s">
        <v>145</v>
      </c>
      <c r="G64" s="9"/>
      <c r="H64" s="9"/>
      <c r="I64" s="9"/>
    </row>
    <row r="65" spans="1:9" ht="18" customHeight="1" x14ac:dyDescent="0.2">
      <c r="A65" s="9" t="s">
        <v>49</v>
      </c>
      <c r="B65" s="28" t="str">
        <f t="shared" si="3"/>
        <v/>
      </c>
      <c r="C65" s="9" t="s">
        <v>121</v>
      </c>
      <c r="D65" s="9" t="s">
        <v>122</v>
      </c>
      <c r="E65" s="10" t="s">
        <v>136</v>
      </c>
      <c r="F65" s="9" t="s">
        <v>137</v>
      </c>
      <c r="G65" s="9"/>
      <c r="H65" s="9"/>
      <c r="I65" s="9"/>
    </row>
    <row r="66" spans="1:9" ht="18" customHeight="1" x14ac:dyDescent="0.2">
      <c r="A66" s="9" t="s">
        <v>49</v>
      </c>
      <c r="B66" s="28" t="str">
        <f t="shared" si="3"/>
        <v/>
      </c>
      <c r="C66" s="9" t="s">
        <v>343</v>
      </c>
      <c r="D66" s="9" t="s">
        <v>65</v>
      </c>
      <c r="E66" s="10" t="s">
        <v>53</v>
      </c>
      <c r="F66" s="9" t="s">
        <v>146</v>
      </c>
      <c r="G66" s="9"/>
      <c r="H66" s="9"/>
      <c r="I66" s="9"/>
    </row>
    <row r="67" spans="1:9" ht="18" customHeight="1" x14ac:dyDescent="0.2">
      <c r="A67" s="9" t="s">
        <v>49</v>
      </c>
      <c r="B67" s="28" t="str">
        <f t="shared" si="3"/>
        <v/>
      </c>
      <c r="C67" s="9" t="s">
        <v>127</v>
      </c>
      <c r="D67" s="9" t="s">
        <v>128</v>
      </c>
      <c r="E67" s="10" t="s">
        <v>136</v>
      </c>
      <c r="F67" s="9" t="s">
        <v>344</v>
      </c>
      <c r="G67" s="9"/>
      <c r="H67" s="9"/>
      <c r="I67" s="9"/>
    </row>
    <row r="68" spans="1:9" ht="18" customHeight="1" x14ac:dyDescent="0.2">
      <c r="A68" s="9" t="s">
        <v>49</v>
      </c>
      <c r="B68" s="28" t="str">
        <f t="shared" si="3"/>
        <v/>
      </c>
      <c r="C68" s="9" t="s">
        <v>91</v>
      </c>
      <c r="D68" s="9" t="s">
        <v>92</v>
      </c>
      <c r="E68" s="10" t="s">
        <v>53</v>
      </c>
      <c r="F68" s="1" t="s">
        <v>81</v>
      </c>
      <c r="G68" s="9"/>
      <c r="H68" s="9"/>
      <c r="I68" s="9"/>
    </row>
    <row r="69" spans="1:9" ht="18" customHeight="1" x14ac:dyDescent="0.2">
      <c r="A69" s="9" t="s">
        <v>49</v>
      </c>
      <c r="B69" s="28" t="str">
        <f t="shared" si="3"/>
        <v/>
      </c>
      <c r="C69" s="9" t="s">
        <v>123</v>
      </c>
      <c r="D69" s="9" t="s">
        <v>124</v>
      </c>
      <c r="E69" s="10"/>
      <c r="F69" s="25" t="s">
        <v>163</v>
      </c>
      <c r="G69" s="9"/>
      <c r="H69" s="9"/>
      <c r="I69" s="9"/>
    </row>
    <row r="70" spans="1:9" ht="18" customHeight="1" x14ac:dyDescent="0.2">
      <c r="A70" s="9" t="s">
        <v>49</v>
      </c>
      <c r="B70" s="28" t="str">
        <f t="shared" si="3"/>
        <v/>
      </c>
      <c r="C70" s="9" t="s">
        <v>97</v>
      </c>
      <c r="D70" s="9" t="s">
        <v>98</v>
      </c>
      <c r="E70" s="10"/>
      <c r="F70" s="11" t="s">
        <v>147</v>
      </c>
      <c r="G70" s="9"/>
      <c r="H70" s="9"/>
      <c r="I70" s="9"/>
    </row>
    <row r="71" spans="1:9" ht="18" customHeight="1" x14ac:dyDescent="0.2">
      <c r="A71" s="9" t="s">
        <v>49</v>
      </c>
      <c r="B71" s="28" t="str">
        <f t="shared" si="3"/>
        <v/>
      </c>
      <c r="C71" s="9" t="s">
        <v>103</v>
      </c>
      <c r="D71" s="9" t="s">
        <v>104</v>
      </c>
      <c r="E71" s="10" t="s">
        <v>136</v>
      </c>
      <c r="F71" s="9" t="s">
        <v>140</v>
      </c>
      <c r="G71" s="9"/>
      <c r="H71" s="9"/>
      <c r="I71" s="9"/>
    </row>
    <row r="72" spans="1:9" ht="18" customHeight="1" x14ac:dyDescent="0.2">
      <c r="A72" s="9" t="s">
        <v>49</v>
      </c>
      <c r="B72" s="28" t="str">
        <f t="shared" si="3"/>
        <v/>
      </c>
      <c r="C72" s="9" t="s">
        <v>129</v>
      </c>
      <c r="D72" s="9" t="s">
        <v>130</v>
      </c>
      <c r="E72" s="10"/>
      <c r="F72" s="11" t="s">
        <v>144</v>
      </c>
      <c r="G72" s="9"/>
      <c r="H72" s="9"/>
      <c r="I72" s="9"/>
    </row>
    <row r="73" spans="1:9" ht="18" customHeight="1" x14ac:dyDescent="0.2">
      <c r="A73" s="9" t="s">
        <v>49</v>
      </c>
      <c r="B73" s="28" t="str">
        <f t="shared" si="3"/>
        <v/>
      </c>
      <c r="C73" s="9" t="s">
        <v>125</v>
      </c>
      <c r="D73" s="9" t="s">
        <v>126</v>
      </c>
      <c r="E73" s="10" t="s">
        <v>136</v>
      </c>
      <c r="F73" s="9" t="s">
        <v>142</v>
      </c>
      <c r="G73" s="9"/>
      <c r="H73" s="9"/>
      <c r="I73" s="9"/>
    </row>
    <row r="74" spans="1:9" ht="18" customHeight="1" x14ac:dyDescent="0.2">
      <c r="A74" s="9" t="s">
        <v>49</v>
      </c>
      <c r="B74" s="28" t="str">
        <f t="shared" si="3"/>
        <v/>
      </c>
      <c r="C74" s="9" t="s">
        <v>109</v>
      </c>
      <c r="D74" s="9" t="s">
        <v>110</v>
      </c>
      <c r="E74" s="10" t="s">
        <v>136</v>
      </c>
      <c r="F74" s="9" t="s">
        <v>141</v>
      </c>
      <c r="G74" s="9"/>
      <c r="H74" s="9"/>
      <c r="I74" s="9"/>
    </row>
    <row r="75" spans="1:9" ht="18" customHeight="1" x14ac:dyDescent="0.2">
      <c r="A75" s="9" t="s">
        <v>49</v>
      </c>
      <c r="B75" s="28" t="str">
        <f t="shared" si="3"/>
        <v/>
      </c>
      <c r="C75" s="9" t="s">
        <v>50</v>
      </c>
      <c r="D75" s="9" t="s">
        <v>51</v>
      </c>
      <c r="E75" s="10" t="s">
        <v>53</v>
      </c>
      <c r="F75" s="9" t="s">
        <v>58</v>
      </c>
      <c r="G75" s="9"/>
      <c r="H75" s="9"/>
      <c r="I75" s="9"/>
    </row>
    <row r="76" spans="1:9" ht="18" customHeight="1" x14ac:dyDescent="0.2">
      <c r="A76" s="9" t="s">
        <v>49</v>
      </c>
      <c r="B76" s="28" t="str">
        <f t="shared" si="3"/>
        <v/>
      </c>
      <c r="C76" s="9" t="s">
        <v>113</v>
      </c>
      <c r="D76" s="9" t="s">
        <v>114</v>
      </c>
      <c r="E76" s="10" t="s">
        <v>136</v>
      </c>
      <c r="F76" s="9" t="s">
        <v>143</v>
      </c>
      <c r="G76" s="9"/>
      <c r="H76" s="9"/>
      <c r="I76" s="9"/>
    </row>
    <row r="77" spans="1:9" ht="18" customHeight="1" x14ac:dyDescent="0.2">
      <c r="A77" s="9" t="s">
        <v>49</v>
      </c>
      <c r="B77" s="28" t="str">
        <f t="shared" si="3"/>
        <v/>
      </c>
      <c r="C77" s="9" t="s">
        <v>99</v>
      </c>
      <c r="D77" s="9" t="s">
        <v>100</v>
      </c>
      <c r="E77" s="10" t="s">
        <v>136</v>
      </c>
      <c r="F77" s="9" t="s">
        <v>138</v>
      </c>
      <c r="G77" s="9"/>
      <c r="H77" s="9"/>
      <c r="I77" s="9"/>
    </row>
    <row r="78" spans="1:9" ht="18" customHeight="1" x14ac:dyDescent="0.2">
      <c r="A78" s="9" t="s">
        <v>49</v>
      </c>
      <c r="B78" s="28" t="str">
        <f t="shared" si="3"/>
        <v/>
      </c>
      <c r="C78" s="9" t="s">
        <v>181</v>
      </c>
      <c r="D78" s="9" t="s">
        <v>182</v>
      </c>
      <c r="E78" s="10" t="s">
        <v>53</v>
      </c>
      <c r="F78" s="27" t="s">
        <v>183</v>
      </c>
      <c r="G78" s="9"/>
      <c r="H78" s="9"/>
      <c r="I78" s="9"/>
    </row>
    <row r="79" spans="1:9" ht="18" customHeight="1" x14ac:dyDescent="0.2">
      <c r="A79" s="9" t="s">
        <v>381</v>
      </c>
      <c r="B79" s="28" t="str">
        <f t="shared" si="3"/>
        <v/>
      </c>
      <c r="C79" s="9" t="s">
        <v>395</v>
      </c>
      <c r="D79" s="9" t="s">
        <v>358</v>
      </c>
      <c r="E79" s="10"/>
      <c r="F79" s="27" t="s">
        <v>359</v>
      </c>
      <c r="G79" s="9"/>
      <c r="H79" s="9"/>
      <c r="I79" s="9"/>
    </row>
    <row r="80" spans="1:9" ht="18" customHeight="1" x14ac:dyDescent="0.2">
      <c r="A80" s="9" t="s">
        <v>381</v>
      </c>
      <c r="B80" s="28" t="str">
        <f t="shared" ref="B80" si="4">IF(A80="_work","UsingAnyWorkcomputer","")</f>
        <v/>
      </c>
      <c r="C80" s="9" t="s">
        <v>396</v>
      </c>
      <c r="D80" s="9" t="s">
        <v>361</v>
      </c>
      <c r="E80" s="10"/>
      <c r="F80" s="27" t="s">
        <v>360</v>
      </c>
      <c r="G80" s="9"/>
      <c r="H80" s="9"/>
      <c r="I80" s="9"/>
    </row>
    <row r="81" spans="1:9" ht="18" customHeight="1" x14ac:dyDescent="0.2">
      <c r="A81" s="9" t="s">
        <v>381</v>
      </c>
      <c r="B81" s="28"/>
      <c r="C81" s="9" t="s">
        <v>397</v>
      </c>
      <c r="D81" s="9" t="s">
        <v>385</v>
      </c>
      <c r="E81" s="10"/>
      <c r="F81" s="37" t="s">
        <v>382</v>
      </c>
      <c r="G81" s="9"/>
      <c r="H81" s="9"/>
      <c r="I81" s="9"/>
    </row>
    <row r="82" spans="1:9" ht="18" customHeight="1" x14ac:dyDescent="0.2">
      <c r="A82" s="9" t="s">
        <v>381</v>
      </c>
      <c r="B82" s="28"/>
      <c r="C82" s="9" t="s">
        <v>398</v>
      </c>
      <c r="D82" s="9" t="s">
        <v>384</v>
      </c>
      <c r="E82" s="10"/>
      <c r="F82" s="37" t="s">
        <v>383</v>
      </c>
      <c r="G82" s="9"/>
      <c r="H82" s="9"/>
      <c r="I82" s="9"/>
    </row>
    <row r="83" spans="1:9" ht="18" customHeight="1" x14ac:dyDescent="0.2">
      <c r="A83" s="9" t="s">
        <v>381</v>
      </c>
      <c r="B83" s="28"/>
      <c r="C83" s="9" t="s">
        <v>399</v>
      </c>
      <c r="D83" s="9" t="s">
        <v>386</v>
      </c>
      <c r="E83" s="10"/>
      <c r="F83" s="37" t="s">
        <v>387</v>
      </c>
      <c r="G83" s="9"/>
      <c r="H83" s="9"/>
      <c r="I83" s="9"/>
    </row>
    <row r="84" spans="1:9" ht="18" customHeight="1" x14ac:dyDescent="0.2">
      <c r="A84" s="9" t="s">
        <v>381</v>
      </c>
      <c r="B84" s="28"/>
      <c r="C84" s="9" t="s">
        <v>400</v>
      </c>
      <c r="D84" s="9" t="s">
        <v>388</v>
      </c>
      <c r="E84" s="10"/>
      <c r="F84" s="37" t="s">
        <v>391</v>
      </c>
      <c r="G84" s="9"/>
      <c r="H84" s="9"/>
      <c r="I84" s="9"/>
    </row>
    <row r="85" spans="1:9" ht="18" customHeight="1" x14ac:dyDescent="0.2">
      <c r="A85" s="9" t="s">
        <v>381</v>
      </c>
      <c r="B85" s="28"/>
      <c r="C85" s="9" t="s">
        <v>401</v>
      </c>
      <c r="D85" s="9" t="s">
        <v>390</v>
      </c>
      <c r="E85" s="10"/>
      <c r="F85" s="37" t="s">
        <v>389</v>
      </c>
      <c r="G85" s="9"/>
      <c r="H85" s="9"/>
      <c r="I85" s="9"/>
    </row>
    <row r="86" spans="1:9" ht="18" customHeight="1" x14ac:dyDescent="0.2">
      <c r="A86" s="9" t="s">
        <v>381</v>
      </c>
      <c r="B86" s="28"/>
      <c r="C86" s="9" t="s">
        <v>402</v>
      </c>
      <c r="D86" s="9" t="s">
        <v>393</v>
      </c>
      <c r="E86" s="10"/>
      <c r="F86" s="37" t="s">
        <v>394</v>
      </c>
      <c r="G86" s="9"/>
      <c r="H86" s="9"/>
      <c r="I86" s="9"/>
    </row>
    <row r="87" spans="1:9" ht="18" customHeight="1" x14ac:dyDescent="0.2">
      <c r="A87" s="9" t="s">
        <v>381</v>
      </c>
      <c r="B87" s="28"/>
      <c r="C87" s="9" t="s">
        <v>403</v>
      </c>
      <c r="D87" s="9" t="s">
        <v>405</v>
      </c>
      <c r="E87" s="10"/>
      <c r="F87" s="9" t="s">
        <v>407</v>
      </c>
      <c r="G87" s="9"/>
      <c r="H87" s="9"/>
      <c r="I87" s="9"/>
    </row>
    <row r="88" spans="1:9" ht="18" customHeight="1" x14ac:dyDescent="0.2">
      <c r="A88" s="9" t="s">
        <v>381</v>
      </c>
      <c r="B88" s="28"/>
      <c r="C88" s="9" t="s">
        <v>404</v>
      </c>
      <c r="D88" s="9" t="s">
        <v>406</v>
      </c>
      <c r="E88" s="10"/>
      <c r="F88" s="9" t="s">
        <v>408</v>
      </c>
      <c r="G88" s="9"/>
      <c r="H88" s="9"/>
      <c r="I88" s="9"/>
    </row>
    <row r="89" spans="1:9" ht="18" customHeight="1" x14ac:dyDescent="0.2">
      <c r="A89" s="9" t="s">
        <v>381</v>
      </c>
      <c r="B89" s="28"/>
      <c r="C89" s="9" t="s">
        <v>412</v>
      </c>
      <c r="D89" s="9" t="s">
        <v>413</v>
      </c>
      <c r="E89" s="10"/>
      <c r="F89" s="9" t="s">
        <v>414</v>
      </c>
      <c r="G89" s="9"/>
      <c r="H89" s="9"/>
      <c r="I89" s="9"/>
    </row>
    <row r="90" spans="1:9" ht="18" customHeight="1" x14ac:dyDescent="0.2">
      <c r="A90" s="9" t="s">
        <v>272</v>
      </c>
      <c r="B90" s="28" t="s">
        <v>294</v>
      </c>
      <c r="C90" s="9" t="s">
        <v>378</v>
      </c>
      <c r="D90" s="9" t="s">
        <v>420</v>
      </c>
      <c r="E90" s="10" t="s">
        <v>5</v>
      </c>
      <c r="F90" s="27" t="s">
        <v>379</v>
      </c>
      <c r="G90" s="9"/>
      <c r="H90" s="9"/>
      <c r="I90" s="9"/>
    </row>
    <row r="91" spans="1:9" ht="18" customHeight="1" x14ac:dyDescent="0.2">
      <c r="A91" s="9" t="s">
        <v>272</v>
      </c>
      <c r="B91" s="28" t="s">
        <v>294</v>
      </c>
      <c r="C91" s="9" t="s">
        <v>295</v>
      </c>
      <c r="D91" s="9" t="s">
        <v>273</v>
      </c>
      <c r="E91" s="10"/>
      <c r="F91" s="9" t="s">
        <v>317</v>
      </c>
      <c r="G91" s="9"/>
      <c r="H91" s="9"/>
      <c r="I91" s="9"/>
    </row>
    <row r="92" spans="1:9" ht="18" customHeight="1" x14ac:dyDescent="0.2">
      <c r="A92" s="9" t="s">
        <v>272</v>
      </c>
      <c r="B92" s="28" t="s">
        <v>294</v>
      </c>
      <c r="C92" s="9" t="s">
        <v>296</v>
      </c>
      <c r="D92" s="9" t="s">
        <v>274</v>
      </c>
      <c r="E92" s="10"/>
      <c r="F92" s="1" t="s">
        <v>318</v>
      </c>
      <c r="G92" s="9"/>
      <c r="H92" s="9"/>
      <c r="I92" s="9"/>
    </row>
    <row r="93" spans="1:9" ht="18" customHeight="1" x14ac:dyDescent="0.2">
      <c r="A93" s="9" t="s">
        <v>272</v>
      </c>
      <c r="B93" s="28" t="s">
        <v>294</v>
      </c>
      <c r="C93" s="9" t="s">
        <v>297</v>
      </c>
      <c r="D93" s="9" t="s">
        <v>275</v>
      </c>
      <c r="E93" s="10"/>
      <c r="F93" s="11" t="s">
        <v>319</v>
      </c>
      <c r="G93" s="9"/>
      <c r="H93" s="9"/>
      <c r="I93" s="9"/>
    </row>
    <row r="94" spans="1:9" ht="18" customHeight="1" x14ac:dyDescent="0.2">
      <c r="A94" s="9" t="s">
        <v>272</v>
      </c>
      <c r="B94" s="28" t="s">
        <v>294</v>
      </c>
      <c r="C94" s="9" t="s">
        <v>298</v>
      </c>
      <c r="D94" s="9" t="s">
        <v>276</v>
      </c>
      <c r="E94" s="10"/>
      <c r="F94" s="9" t="s">
        <v>316</v>
      </c>
      <c r="G94" s="9"/>
      <c r="H94" s="10"/>
      <c r="I94" s="9"/>
    </row>
    <row r="95" spans="1:9" ht="18" customHeight="1" x14ac:dyDescent="0.2">
      <c r="A95" s="9" t="s">
        <v>272</v>
      </c>
      <c r="B95" s="28" t="s">
        <v>294</v>
      </c>
      <c r="C95" s="9" t="s">
        <v>299</v>
      </c>
      <c r="D95" s="9" t="s">
        <v>277</v>
      </c>
      <c r="E95" s="10"/>
      <c r="F95" s="9" t="s">
        <v>320</v>
      </c>
      <c r="G95" s="9"/>
      <c r="H95" s="9"/>
      <c r="I95" s="9"/>
    </row>
    <row r="96" spans="1:9" ht="18" customHeight="1" x14ac:dyDescent="0.2">
      <c r="A96" s="9" t="s">
        <v>272</v>
      </c>
      <c r="B96" s="28" t="s">
        <v>294</v>
      </c>
      <c r="C96" s="9" t="s">
        <v>300</v>
      </c>
      <c r="D96" s="9" t="s">
        <v>278</v>
      </c>
      <c r="E96" s="10"/>
      <c r="F96" s="9" t="s">
        <v>321</v>
      </c>
      <c r="G96" s="9"/>
      <c r="H96" s="9"/>
      <c r="I96" s="9"/>
    </row>
    <row r="97" spans="1:9" ht="18" customHeight="1" x14ac:dyDescent="0.2">
      <c r="A97" s="9" t="s">
        <v>272</v>
      </c>
      <c r="B97" s="28" t="s">
        <v>294</v>
      </c>
      <c r="C97" s="9" t="s">
        <v>301</v>
      </c>
      <c r="D97" s="9" t="s">
        <v>279</v>
      </c>
      <c r="E97" s="10"/>
      <c r="F97" s="9" t="s">
        <v>322</v>
      </c>
      <c r="G97" s="9"/>
      <c r="H97" s="9"/>
      <c r="I97" s="9"/>
    </row>
    <row r="98" spans="1:9" ht="18" customHeight="1" x14ac:dyDescent="0.2">
      <c r="A98" s="9" t="s">
        <v>272</v>
      </c>
      <c r="B98" s="28" t="s">
        <v>294</v>
      </c>
      <c r="C98" s="9" t="s">
        <v>302</v>
      </c>
      <c r="D98" s="9" t="s">
        <v>280</v>
      </c>
      <c r="E98" s="10"/>
      <c r="F98" s="9" t="s">
        <v>323</v>
      </c>
      <c r="G98" s="9"/>
      <c r="H98" s="9"/>
      <c r="I98" s="9"/>
    </row>
    <row r="99" spans="1:9" ht="18" customHeight="1" x14ac:dyDescent="0.2">
      <c r="A99" s="9" t="s">
        <v>272</v>
      </c>
      <c r="B99" s="28" t="s">
        <v>294</v>
      </c>
      <c r="C99" s="9" t="s">
        <v>303</v>
      </c>
      <c r="D99" s="9" t="s">
        <v>281</v>
      </c>
      <c r="E99" s="10"/>
      <c r="F99" s="9" t="s">
        <v>324</v>
      </c>
      <c r="G99" s="9"/>
      <c r="H99" s="9"/>
      <c r="I99" s="9"/>
    </row>
    <row r="100" spans="1:9" ht="18" customHeight="1" x14ac:dyDescent="0.2">
      <c r="A100" s="9" t="s">
        <v>272</v>
      </c>
      <c r="B100" s="28" t="s">
        <v>294</v>
      </c>
      <c r="C100" s="9" t="s">
        <v>304</v>
      </c>
      <c r="D100" s="9" t="s">
        <v>282</v>
      </c>
      <c r="E100" s="10"/>
      <c r="F100" s="9" t="s">
        <v>325</v>
      </c>
      <c r="G100" s="9"/>
      <c r="H100" s="9"/>
      <c r="I100" s="9"/>
    </row>
    <row r="101" spans="1:9" ht="18" customHeight="1" x14ac:dyDescent="0.2">
      <c r="A101" s="9" t="s">
        <v>272</v>
      </c>
      <c r="B101" s="28" t="s">
        <v>294</v>
      </c>
      <c r="C101" s="9" t="s">
        <v>305</v>
      </c>
      <c r="D101" s="9" t="s">
        <v>283</v>
      </c>
      <c r="E101" s="10"/>
      <c r="F101" s="9" t="s">
        <v>326</v>
      </c>
      <c r="G101" s="9"/>
      <c r="H101" s="9"/>
      <c r="I101" s="9"/>
    </row>
    <row r="102" spans="1:9" ht="18" customHeight="1" x14ac:dyDescent="0.2">
      <c r="A102" s="9" t="s">
        <v>272</v>
      </c>
      <c r="B102" s="28" t="s">
        <v>294</v>
      </c>
      <c r="C102" s="9" t="s">
        <v>306</v>
      </c>
      <c r="D102" s="9" t="s">
        <v>284</v>
      </c>
      <c r="E102" s="10"/>
      <c r="F102" s="9" t="s">
        <v>327</v>
      </c>
      <c r="G102" s="9"/>
      <c r="H102" s="9"/>
      <c r="I102" s="9"/>
    </row>
    <row r="103" spans="1:9" ht="18" customHeight="1" x14ac:dyDescent="0.2">
      <c r="A103" s="9" t="s">
        <v>272</v>
      </c>
      <c r="B103" s="28" t="s">
        <v>294</v>
      </c>
      <c r="C103" s="9" t="s">
        <v>307</v>
      </c>
      <c r="D103" s="9" t="s">
        <v>285</v>
      </c>
      <c r="E103" s="10"/>
      <c r="F103" s="9" t="s">
        <v>328</v>
      </c>
      <c r="G103" s="9"/>
      <c r="H103" s="9"/>
      <c r="I103" s="9"/>
    </row>
    <row r="104" spans="1:9" ht="18" customHeight="1" x14ac:dyDescent="0.2">
      <c r="A104" s="9" t="s">
        <v>272</v>
      </c>
      <c r="B104" s="28" t="s">
        <v>294</v>
      </c>
      <c r="C104" s="9" t="s">
        <v>339</v>
      </c>
      <c r="D104" s="9" t="s">
        <v>338</v>
      </c>
      <c r="E104" s="10"/>
      <c r="F104" s="9" t="s">
        <v>329</v>
      </c>
      <c r="G104" s="9"/>
      <c r="H104" s="9"/>
      <c r="I104" s="9"/>
    </row>
    <row r="105" spans="1:9" ht="18" customHeight="1" x14ac:dyDescent="0.2">
      <c r="A105" s="9" t="s">
        <v>272</v>
      </c>
      <c r="B105" s="28" t="s">
        <v>294</v>
      </c>
      <c r="C105" s="9" t="s">
        <v>308</v>
      </c>
      <c r="D105" s="9" t="s">
        <v>286</v>
      </c>
      <c r="E105" s="10"/>
      <c r="F105" s="9" t="s">
        <v>330</v>
      </c>
      <c r="G105" s="9"/>
      <c r="H105" s="9"/>
      <c r="I105" s="9"/>
    </row>
    <row r="106" spans="1:9" ht="18" customHeight="1" x14ac:dyDescent="0.2">
      <c r="A106" s="9" t="s">
        <v>272</v>
      </c>
      <c r="B106" s="28" t="s">
        <v>294</v>
      </c>
      <c r="C106" s="9" t="s">
        <v>309</v>
      </c>
      <c r="D106" s="9" t="s">
        <v>287</v>
      </c>
      <c r="E106" s="10"/>
      <c r="F106" s="9" t="s">
        <v>331</v>
      </c>
      <c r="G106" s="9"/>
      <c r="H106" s="9"/>
      <c r="I106" s="9"/>
    </row>
    <row r="107" spans="1:9" ht="18" customHeight="1" x14ac:dyDescent="0.2">
      <c r="A107" s="9" t="s">
        <v>272</v>
      </c>
      <c r="B107" s="28" t="s">
        <v>294</v>
      </c>
      <c r="C107" s="9" t="s">
        <v>310</v>
      </c>
      <c r="D107" s="9" t="s">
        <v>288</v>
      </c>
      <c r="E107" s="10"/>
      <c r="F107" s="9" t="s">
        <v>332</v>
      </c>
      <c r="G107" s="9"/>
      <c r="H107" s="9"/>
      <c r="I107" s="9"/>
    </row>
    <row r="108" spans="1:9" ht="18" customHeight="1" x14ac:dyDescent="0.2">
      <c r="A108" s="9" t="s">
        <v>272</v>
      </c>
      <c r="B108" s="28" t="s">
        <v>294</v>
      </c>
      <c r="C108" s="9" t="s">
        <v>311</v>
      </c>
      <c r="D108" s="9" t="s">
        <v>289</v>
      </c>
      <c r="E108" s="10"/>
      <c r="F108" s="9" t="s">
        <v>333</v>
      </c>
      <c r="G108" s="9"/>
      <c r="H108" s="9"/>
      <c r="I108" s="9"/>
    </row>
    <row r="109" spans="1:9" ht="18" customHeight="1" x14ac:dyDescent="0.2">
      <c r="A109" s="9" t="s">
        <v>272</v>
      </c>
      <c r="B109" s="28" t="s">
        <v>294</v>
      </c>
      <c r="C109" s="9" t="s">
        <v>312</v>
      </c>
      <c r="D109" s="9" t="s">
        <v>290</v>
      </c>
      <c r="E109" s="10"/>
      <c r="F109" s="9" t="s">
        <v>334</v>
      </c>
      <c r="G109" s="9"/>
      <c r="H109" s="9"/>
      <c r="I109" s="9"/>
    </row>
    <row r="110" spans="1:9" ht="18" customHeight="1" x14ac:dyDescent="0.2">
      <c r="A110" s="9" t="s">
        <v>272</v>
      </c>
      <c r="B110" s="28" t="s">
        <v>294</v>
      </c>
      <c r="C110" s="9" t="s">
        <v>313</v>
      </c>
      <c r="D110" s="9" t="s">
        <v>291</v>
      </c>
      <c r="E110" s="10"/>
      <c r="F110" s="9" t="s">
        <v>335</v>
      </c>
      <c r="G110" s="9"/>
      <c r="H110" s="9"/>
      <c r="I110" s="9"/>
    </row>
    <row r="111" spans="1:9" ht="18" customHeight="1" x14ac:dyDescent="0.2">
      <c r="A111" s="9" t="s">
        <v>272</v>
      </c>
      <c r="B111" s="28" t="s">
        <v>294</v>
      </c>
      <c r="C111" s="9" t="s">
        <v>314</v>
      </c>
      <c r="D111" s="9" t="s">
        <v>292</v>
      </c>
      <c r="E111" s="10"/>
      <c r="F111" s="9" t="s">
        <v>336</v>
      </c>
      <c r="G111" s="9"/>
      <c r="H111" s="9"/>
      <c r="I111" s="9"/>
    </row>
    <row r="112" spans="1:9" ht="18" customHeight="1" x14ac:dyDescent="0.2">
      <c r="A112" s="9" t="s">
        <v>272</v>
      </c>
      <c r="B112" s="28" t="s">
        <v>294</v>
      </c>
      <c r="C112" s="9" t="s">
        <v>315</v>
      </c>
      <c r="D112" s="9" t="s">
        <v>293</v>
      </c>
      <c r="E112" s="10"/>
      <c r="F112" s="9" t="s">
        <v>337</v>
      </c>
      <c r="G112" s="9"/>
      <c r="H112" s="9"/>
      <c r="I112" s="9"/>
    </row>
    <row r="113" spans="1:9" ht="18" customHeight="1" x14ac:dyDescent="0.2">
      <c r="A113" s="9"/>
      <c r="B113" s="9"/>
      <c r="C113" s="9"/>
      <c r="D113" s="9"/>
      <c r="E113" s="10"/>
      <c r="F113" s="9"/>
      <c r="G113" s="9"/>
      <c r="H113" s="9"/>
      <c r="I113" s="9"/>
    </row>
    <row r="114" spans="1:9" ht="18" customHeight="1" x14ac:dyDescent="0.2">
      <c r="A114" s="9"/>
      <c r="B114" s="9"/>
      <c r="C114" s="9"/>
      <c r="D114" s="9"/>
      <c r="E114" s="10"/>
      <c r="F114" s="9"/>
      <c r="G114" s="9"/>
      <c r="H114" s="9"/>
      <c r="I114" s="9"/>
    </row>
    <row r="115" spans="1:9" ht="18" customHeight="1" x14ac:dyDescent="0.2">
      <c r="A115" s="9"/>
      <c r="B115" s="9"/>
      <c r="C115" s="9"/>
      <c r="D115" s="9"/>
      <c r="E115" s="10"/>
      <c r="F115" s="9"/>
      <c r="G115" s="9"/>
      <c r="H115" s="9"/>
      <c r="I115" s="9"/>
    </row>
    <row r="116" spans="1:9" ht="18" customHeight="1" x14ac:dyDescent="0.2">
      <c r="A116" s="9"/>
      <c r="B116" s="9"/>
      <c r="C116" s="9"/>
      <c r="D116" s="9"/>
      <c r="E116" s="10"/>
      <c r="F116" s="9"/>
      <c r="G116" s="9"/>
      <c r="H116" s="9"/>
      <c r="I116" s="9"/>
    </row>
    <row r="117" spans="1:9" ht="18" customHeight="1" x14ac:dyDescent="0.2">
      <c r="A117" s="9"/>
      <c r="B117" s="9"/>
      <c r="C117" s="9"/>
      <c r="D117" s="9"/>
      <c r="E117" s="10"/>
      <c r="F117" s="9"/>
      <c r="G117" s="9"/>
      <c r="H117" s="9"/>
      <c r="I117" s="9"/>
    </row>
    <row r="118" spans="1:9" ht="18" customHeight="1" x14ac:dyDescent="0.2">
      <c r="A118" s="9"/>
      <c r="B118" s="9"/>
      <c r="C118" s="9"/>
      <c r="D118" s="9"/>
      <c r="E118" s="10"/>
      <c r="F118" s="9"/>
      <c r="G118" s="9"/>
      <c r="H118" s="9"/>
      <c r="I118" s="9"/>
    </row>
    <row r="119" spans="1:9" ht="18" customHeight="1" x14ac:dyDescent="0.2">
      <c r="A119" s="9"/>
      <c r="B119" s="9"/>
      <c r="C119" s="9"/>
      <c r="D119" s="9"/>
      <c r="E119" s="10"/>
      <c r="F119" s="9"/>
      <c r="G119" s="9"/>
      <c r="H119" s="9"/>
      <c r="I119" s="9"/>
    </row>
    <row r="120" spans="1:9" ht="18" customHeight="1" x14ac:dyDescent="0.2">
      <c r="A120" s="9"/>
      <c r="B120" s="9"/>
      <c r="C120" s="9"/>
      <c r="D120" s="9"/>
      <c r="E120" s="10"/>
      <c r="F120" s="9"/>
      <c r="G120" s="9"/>
      <c r="H120" s="9"/>
      <c r="I120" s="9"/>
    </row>
    <row r="121" spans="1:9" ht="18" customHeight="1" x14ac:dyDescent="0.2">
      <c r="A121" s="9"/>
      <c r="B121" s="9"/>
      <c r="C121" s="9"/>
      <c r="D121" s="9"/>
      <c r="E121" s="10"/>
      <c r="F121" s="9"/>
      <c r="G121" s="9"/>
      <c r="H121" s="9"/>
      <c r="I121" s="9"/>
    </row>
    <row r="122" spans="1:9" ht="18" customHeight="1" x14ac:dyDescent="0.2">
      <c r="A122" s="9"/>
      <c r="B122" s="9"/>
      <c r="C122" s="9"/>
      <c r="D122" s="9"/>
      <c r="E122" s="10"/>
      <c r="F122" s="9"/>
      <c r="G122" s="9"/>
      <c r="H122" s="9"/>
      <c r="I122" s="9"/>
    </row>
    <row r="123" spans="1:9" ht="18" customHeight="1" x14ac:dyDescent="0.2">
      <c r="A123" s="9"/>
      <c r="B123" s="9"/>
      <c r="C123" s="9"/>
      <c r="D123" s="9"/>
      <c r="E123" s="10"/>
      <c r="F123" s="9"/>
      <c r="G123" s="9"/>
      <c r="H123" s="9"/>
      <c r="I123" s="9"/>
    </row>
    <row r="124" spans="1:9" ht="18" customHeight="1" x14ac:dyDescent="0.2">
      <c r="A124" s="9"/>
      <c r="B124" s="9"/>
      <c r="C124" s="9"/>
      <c r="D124" s="9"/>
      <c r="E124" s="10"/>
      <c r="F124" s="9"/>
      <c r="G124" s="9"/>
      <c r="H124" s="9"/>
      <c r="I124" s="9"/>
    </row>
    <row r="125" spans="1:9" ht="18" customHeight="1" x14ac:dyDescent="0.2">
      <c r="A125" s="9"/>
      <c r="B125" s="9"/>
      <c r="C125" s="9"/>
      <c r="D125" s="9"/>
      <c r="E125" s="10"/>
      <c r="F125" s="9"/>
      <c r="G125" s="9"/>
      <c r="H125" s="9"/>
      <c r="I125" s="9"/>
    </row>
    <row r="126" spans="1:9" ht="18" customHeight="1" x14ac:dyDescent="0.2">
      <c r="A126" s="9"/>
      <c r="B126" s="9"/>
      <c r="C126" s="9"/>
      <c r="D126" s="9"/>
      <c r="E126" s="10"/>
      <c r="F126" s="9"/>
      <c r="G126" s="9"/>
      <c r="H126" s="9"/>
      <c r="I126" s="9"/>
    </row>
    <row r="127" spans="1:9" ht="18" customHeight="1" x14ac:dyDescent="0.2">
      <c r="A127" s="9"/>
      <c r="B127" s="9"/>
      <c r="C127" s="9"/>
      <c r="D127" s="9"/>
      <c r="E127" s="10"/>
      <c r="F127" s="9"/>
      <c r="G127" s="9"/>
      <c r="H127" s="9"/>
      <c r="I127" s="9"/>
    </row>
    <row r="128" spans="1:9" ht="18" customHeight="1" x14ac:dyDescent="0.2">
      <c r="A128" s="9"/>
      <c r="B128" s="9"/>
      <c r="C128" s="9"/>
      <c r="D128" s="9"/>
      <c r="E128" s="10"/>
      <c r="F128" s="9"/>
      <c r="G128" s="9"/>
      <c r="H128" s="9"/>
      <c r="I128" s="9"/>
    </row>
    <row r="129" spans="1:9" ht="18" customHeight="1" x14ac:dyDescent="0.2">
      <c r="A129" s="9"/>
      <c r="B129" s="9"/>
      <c r="C129" s="9"/>
      <c r="D129" s="9"/>
      <c r="E129" s="10"/>
      <c r="F129" s="9"/>
      <c r="G129" s="9"/>
      <c r="H129" s="9"/>
      <c r="I129" s="9"/>
    </row>
    <row r="130" spans="1:9" ht="18" customHeight="1" x14ac:dyDescent="0.2">
      <c r="A130" s="9"/>
      <c r="B130" s="9"/>
      <c r="C130" s="9"/>
      <c r="D130" s="9"/>
      <c r="E130" s="10"/>
      <c r="F130" s="9"/>
      <c r="G130" s="9"/>
      <c r="H130" s="9"/>
      <c r="I130" s="9"/>
    </row>
    <row r="131" spans="1:9" ht="18" customHeight="1" x14ac:dyDescent="0.2">
      <c r="A131" s="9"/>
      <c r="B131" s="9"/>
      <c r="C131" s="9"/>
      <c r="D131" s="9"/>
      <c r="E131" s="10"/>
      <c r="F131" s="9"/>
      <c r="G131" s="9"/>
      <c r="H131" s="9"/>
      <c r="I131" s="9"/>
    </row>
    <row r="132" spans="1:9" ht="18" customHeight="1" x14ac:dyDescent="0.2">
      <c r="A132" s="9"/>
      <c r="B132" s="9"/>
      <c r="C132" s="9"/>
      <c r="D132" s="9"/>
      <c r="E132" s="10"/>
      <c r="F132" s="9"/>
      <c r="G132" s="9"/>
      <c r="H132" s="9"/>
      <c r="I132" s="9"/>
    </row>
    <row r="133" spans="1:9" ht="18" customHeight="1" x14ac:dyDescent="0.2">
      <c r="A133" s="9"/>
      <c r="B133" s="9"/>
      <c r="C133" s="9"/>
      <c r="D133" s="9"/>
      <c r="E133" s="10"/>
      <c r="F133" s="9"/>
      <c r="G133" s="9"/>
      <c r="H133" s="9"/>
      <c r="I133" s="9"/>
    </row>
    <row r="134" spans="1:9" ht="18" customHeight="1" x14ac:dyDescent="0.2">
      <c r="A134" s="9"/>
      <c r="B134" s="9"/>
      <c r="C134" s="9"/>
      <c r="D134" s="9"/>
      <c r="E134" s="10"/>
      <c r="F134" s="9"/>
      <c r="G134" s="9"/>
      <c r="H134" s="9"/>
      <c r="I134" s="9"/>
    </row>
    <row r="135" spans="1:9" ht="18" customHeight="1" x14ac:dyDescent="0.2">
      <c r="A135" s="9"/>
      <c r="B135" s="9"/>
      <c r="C135" s="9"/>
      <c r="D135" s="9"/>
      <c r="E135" s="10"/>
      <c r="F135" s="9"/>
      <c r="G135" s="9"/>
      <c r="H135" s="9"/>
      <c r="I135" s="9"/>
    </row>
    <row r="136" spans="1:9" ht="18" customHeight="1" x14ac:dyDescent="0.2">
      <c r="A136" s="9"/>
      <c r="B136" s="9"/>
      <c r="C136" s="9"/>
      <c r="D136" s="9"/>
      <c r="E136" s="10"/>
      <c r="F136" s="9"/>
      <c r="G136" s="9"/>
      <c r="H136" s="9"/>
      <c r="I136" s="9"/>
    </row>
    <row r="137" spans="1:9" ht="18" customHeight="1" x14ac:dyDescent="0.2">
      <c r="A137" s="9"/>
      <c r="B137" s="9"/>
      <c r="C137" s="9"/>
      <c r="D137" s="9"/>
      <c r="E137" s="10"/>
      <c r="F137" s="9"/>
      <c r="G137" s="9"/>
      <c r="H137" s="9"/>
      <c r="I137" s="9"/>
    </row>
    <row r="138" spans="1:9" ht="18" customHeight="1" x14ac:dyDescent="0.2">
      <c r="A138" s="9"/>
      <c r="B138" s="9"/>
      <c r="C138" s="9"/>
      <c r="D138" s="9"/>
      <c r="E138" s="10"/>
      <c r="F138" s="9"/>
      <c r="G138" s="9"/>
      <c r="H138" s="9"/>
      <c r="I138" s="9"/>
    </row>
    <row r="139" spans="1:9" ht="18" customHeight="1" x14ac:dyDescent="0.2">
      <c r="A139" s="9"/>
      <c r="B139" s="9"/>
      <c r="C139" s="9"/>
      <c r="D139" s="9"/>
      <c r="E139" s="10"/>
      <c r="F139" s="9"/>
      <c r="G139" s="9"/>
      <c r="H139" s="9"/>
      <c r="I139" s="9"/>
    </row>
    <row r="140" spans="1:9" ht="18" customHeight="1" x14ac:dyDescent="0.2">
      <c r="A140" s="9"/>
      <c r="B140" s="9"/>
      <c r="C140" s="9"/>
      <c r="D140" s="9"/>
      <c r="E140" s="10"/>
      <c r="F140" s="9"/>
      <c r="G140" s="9"/>
      <c r="H140" s="9"/>
      <c r="I140" s="9"/>
    </row>
    <row r="141" spans="1:9" ht="18" customHeight="1" x14ac:dyDescent="0.2">
      <c r="A141" s="9"/>
      <c r="B141" s="9"/>
      <c r="C141" s="9"/>
      <c r="D141" s="9"/>
      <c r="E141" s="10"/>
      <c r="F141" s="9"/>
      <c r="G141" s="9"/>
      <c r="H141" s="9"/>
      <c r="I141" s="9"/>
    </row>
    <row r="142" spans="1:9" ht="18" customHeight="1" x14ac:dyDescent="0.2">
      <c r="A142" s="9"/>
      <c r="B142" s="9"/>
      <c r="C142" s="9"/>
      <c r="D142" s="9"/>
      <c r="E142" s="10"/>
      <c r="F142" s="9"/>
      <c r="G142" s="9"/>
      <c r="H142" s="9"/>
      <c r="I142" s="9"/>
    </row>
    <row r="143" spans="1:9" ht="18" customHeight="1" x14ac:dyDescent="0.2">
      <c r="A143" s="9"/>
      <c r="B143" s="9"/>
      <c r="C143" s="9"/>
      <c r="D143" s="9"/>
      <c r="E143" s="10"/>
      <c r="F143" s="9"/>
      <c r="G143" s="9"/>
      <c r="H143" s="9"/>
      <c r="I143" s="9"/>
    </row>
    <row r="144" spans="1:9" ht="18" customHeight="1" x14ac:dyDescent="0.2">
      <c r="A144" s="9"/>
      <c r="B144" s="9"/>
      <c r="C144" s="9"/>
      <c r="D144" s="9"/>
      <c r="E144" s="10"/>
      <c r="F144" s="9"/>
      <c r="G144" s="9"/>
      <c r="H144" s="9"/>
      <c r="I144" s="9"/>
    </row>
    <row r="145" spans="1:9" ht="18" customHeight="1" x14ac:dyDescent="0.2">
      <c r="A145" s="9"/>
      <c r="B145" s="9"/>
      <c r="C145" s="9"/>
      <c r="D145" s="9"/>
      <c r="E145" s="10"/>
      <c r="F145" s="9"/>
      <c r="G145" s="9"/>
      <c r="H145" s="9"/>
      <c r="I145" s="9"/>
    </row>
    <row r="146" spans="1:9" ht="18" customHeight="1" x14ac:dyDescent="0.2">
      <c r="A146" s="9"/>
      <c r="B146" s="9"/>
      <c r="C146" s="9"/>
      <c r="D146" s="9"/>
      <c r="E146" s="10"/>
      <c r="F146" s="9"/>
      <c r="G146" s="9"/>
      <c r="H146" s="9"/>
      <c r="I146" s="9"/>
    </row>
    <row r="147" spans="1:9" ht="18" customHeight="1" x14ac:dyDescent="0.2">
      <c r="A147" s="9"/>
      <c r="B147" s="9"/>
      <c r="C147" s="9"/>
      <c r="D147" s="9"/>
      <c r="E147" s="10"/>
      <c r="F147" s="9"/>
      <c r="G147" s="9"/>
      <c r="H147" s="9"/>
      <c r="I147" s="9"/>
    </row>
    <row r="148" spans="1:9" ht="18" customHeight="1" x14ac:dyDescent="0.2">
      <c r="A148" s="9"/>
      <c r="B148" s="9"/>
      <c r="C148" s="9"/>
      <c r="D148" s="9"/>
      <c r="E148" s="10"/>
      <c r="F148" s="9"/>
      <c r="G148" s="9"/>
      <c r="H148" s="9"/>
      <c r="I148" s="9"/>
    </row>
    <row r="149" spans="1:9" ht="18" customHeight="1" x14ac:dyDescent="0.2">
      <c r="A149" s="9"/>
      <c r="B149" s="9"/>
      <c r="C149" s="9"/>
      <c r="D149" s="9"/>
      <c r="E149" s="10"/>
      <c r="F149" s="9"/>
      <c r="G149" s="9"/>
      <c r="H149" s="9"/>
      <c r="I149" s="9"/>
    </row>
    <row r="150" spans="1:9" ht="18" customHeight="1" x14ac:dyDescent="0.2">
      <c r="A150" s="9"/>
      <c r="B150" s="9"/>
      <c r="C150" s="9"/>
      <c r="D150" s="9"/>
      <c r="E150" s="10"/>
      <c r="F150" s="9"/>
      <c r="G150" s="9"/>
      <c r="H150" s="9"/>
      <c r="I150" s="9"/>
    </row>
    <row r="151" spans="1:9" ht="18" customHeight="1" x14ac:dyDescent="0.2">
      <c r="A151" s="9"/>
      <c r="B151" s="9"/>
      <c r="C151" s="9"/>
      <c r="D151" s="9"/>
      <c r="E151" s="10"/>
      <c r="F151" s="9"/>
      <c r="G151" s="9"/>
      <c r="H151" s="9"/>
      <c r="I151" s="9"/>
    </row>
    <row r="152" spans="1:9" ht="18" customHeight="1" x14ac:dyDescent="0.2">
      <c r="A152" s="9"/>
      <c r="B152" s="9"/>
      <c r="C152" s="9"/>
      <c r="D152" s="9"/>
      <c r="E152" s="10"/>
      <c r="F152" s="9"/>
      <c r="G152" s="9"/>
      <c r="H152" s="9"/>
      <c r="I152" s="9"/>
    </row>
    <row r="153" spans="1:9" ht="18" customHeight="1" x14ac:dyDescent="0.2">
      <c r="A153" s="9"/>
      <c r="B153" s="9"/>
      <c r="C153" s="9"/>
      <c r="D153" s="9"/>
      <c r="E153" s="10"/>
      <c r="F153" s="9"/>
      <c r="G153" s="9"/>
      <c r="H153" s="9"/>
      <c r="I153" s="9"/>
    </row>
    <row r="154" spans="1:9" ht="18" customHeight="1" x14ac:dyDescent="0.2">
      <c r="A154" s="9"/>
      <c r="B154" s="9"/>
      <c r="C154" s="9"/>
      <c r="D154" s="9"/>
      <c r="E154" s="10"/>
      <c r="F154" s="9"/>
      <c r="G154" s="9"/>
      <c r="H154" s="9"/>
      <c r="I154" s="9"/>
    </row>
    <row r="155" spans="1:9" ht="18" customHeight="1" x14ac:dyDescent="0.2">
      <c r="A155" s="9"/>
      <c r="B155" s="9"/>
      <c r="C155" s="9"/>
      <c r="D155" s="9"/>
      <c r="E155" s="10"/>
      <c r="F155" s="9"/>
      <c r="G155" s="9"/>
      <c r="H155" s="9"/>
      <c r="I155" s="9"/>
    </row>
    <row r="156" spans="1:9" ht="18" customHeight="1" x14ac:dyDescent="0.2">
      <c r="A156" s="9"/>
      <c r="B156" s="9"/>
      <c r="C156" s="9"/>
      <c r="D156" s="9"/>
      <c r="E156" s="10"/>
      <c r="F156" s="9"/>
      <c r="G156" s="9"/>
      <c r="H156" s="9"/>
      <c r="I156" s="9"/>
    </row>
    <row r="157" spans="1:9" ht="18" customHeight="1" x14ac:dyDescent="0.2">
      <c r="A157" s="9"/>
      <c r="B157" s="9"/>
      <c r="C157" s="9"/>
      <c r="D157" s="9"/>
      <c r="E157" s="10"/>
      <c r="F157" s="9"/>
      <c r="G157" s="9"/>
      <c r="H157" s="9"/>
      <c r="I157" s="9"/>
    </row>
    <row r="158" spans="1:9" ht="18" customHeight="1" x14ac:dyDescent="0.2">
      <c r="A158" s="9"/>
      <c r="B158" s="9"/>
      <c r="C158" s="9"/>
      <c r="D158" s="9"/>
      <c r="E158" s="10"/>
      <c r="F158" s="9"/>
      <c r="G158" s="9"/>
      <c r="H158" s="9"/>
      <c r="I158" s="9"/>
    </row>
    <row r="159" spans="1:9" ht="18" customHeight="1" x14ac:dyDescent="0.2">
      <c r="A159" s="9"/>
      <c r="B159" s="9"/>
      <c r="C159" s="9"/>
      <c r="D159" s="9"/>
      <c r="E159" s="10"/>
      <c r="F159" s="9"/>
      <c r="G159" s="9"/>
      <c r="H159" s="9"/>
      <c r="I159" s="9"/>
    </row>
    <row r="160" spans="1:9" ht="18" customHeight="1" x14ac:dyDescent="0.2">
      <c r="A160" s="9"/>
      <c r="B160" s="9"/>
      <c r="C160" s="9"/>
      <c r="D160" s="9"/>
      <c r="E160" s="10"/>
      <c r="F160" s="9"/>
      <c r="G160" s="9"/>
      <c r="H160" s="9"/>
      <c r="I160" s="9"/>
    </row>
    <row r="161" spans="1:9" ht="18" customHeight="1" x14ac:dyDescent="0.2">
      <c r="A161" s="9"/>
      <c r="B161" s="9"/>
      <c r="C161" s="9"/>
      <c r="D161" s="9"/>
      <c r="E161" s="10"/>
      <c r="F161" s="9"/>
      <c r="G161" s="9"/>
      <c r="H161" s="9"/>
      <c r="I161" s="9"/>
    </row>
    <row r="162" spans="1:9" ht="18" customHeight="1" x14ac:dyDescent="0.2">
      <c r="A162" s="9"/>
      <c r="B162" s="9"/>
      <c r="C162" s="9"/>
      <c r="D162" s="9"/>
      <c r="E162" s="10"/>
      <c r="F162" s="9"/>
      <c r="G162" s="9"/>
      <c r="H162" s="9"/>
      <c r="I162" s="9"/>
    </row>
    <row r="163" spans="1:9" ht="18" customHeight="1" x14ac:dyDescent="0.2">
      <c r="A163" s="9"/>
      <c r="B163" s="9"/>
      <c r="C163" s="9"/>
      <c r="D163" s="9"/>
      <c r="E163" s="10"/>
      <c r="F163" s="9"/>
      <c r="G163" s="9"/>
      <c r="H163" s="9"/>
      <c r="I163" s="9"/>
    </row>
    <row r="164" spans="1:9" ht="18" customHeight="1" x14ac:dyDescent="0.2">
      <c r="A164" s="9"/>
      <c r="B164" s="9"/>
      <c r="C164" s="9"/>
      <c r="D164" s="9"/>
      <c r="E164" s="10"/>
      <c r="F164" s="9"/>
      <c r="G164" s="9"/>
      <c r="H164" s="9"/>
      <c r="I164" s="9"/>
    </row>
    <row r="165" spans="1:9" ht="18" customHeight="1" x14ac:dyDescent="0.2">
      <c r="A165" s="9"/>
      <c r="B165" s="9"/>
      <c r="C165" s="9"/>
      <c r="D165" s="9"/>
      <c r="E165" s="10"/>
      <c r="F165" s="9"/>
      <c r="G165" s="9"/>
      <c r="H165" s="9"/>
      <c r="I165" s="9"/>
    </row>
    <row r="166" spans="1:9" ht="18" customHeight="1" x14ac:dyDescent="0.2">
      <c r="A166" s="9"/>
      <c r="B166" s="9"/>
      <c r="C166" s="9"/>
      <c r="D166" s="9"/>
      <c r="E166" s="10"/>
      <c r="F166" s="9"/>
      <c r="G166" s="9"/>
      <c r="H166" s="9"/>
      <c r="I166" s="9"/>
    </row>
    <row r="167" spans="1:9" ht="18" customHeight="1" x14ac:dyDescent="0.2">
      <c r="A167" s="9"/>
      <c r="B167" s="9"/>
      <c r="C167" s="9"/>
      <c r="D167" s="9"/>
      <c r="E167" s="10"/>
      <c r="F167" s="9"/>
      <c r="G167" s="9"/>
      <c r="H167" s="9"/>
      <c r="I167" s="9"/>
    </row>
    <row r="168" spans="1:9" ht="18" customHeight="1" x14ac:dyDescent="0.2">
      <c r="A168" s="9"/>
      <c r="B168" s="9"/>
      <c r="C168" s="9"/>
      <c r="D168" s="9"/>
      <c r="E168" s="10"/>
      <c r="F168" s="9"/>
      <c r="G168" s="9"/>
      <c r="H168" s="9"/>
      <c r="I168" s="9"/>
    </row>
    <row r="169" spans="1:9" ht="18" customHeight="1" x14ac:dyDescent="0.2">
      <c r="A169" s="9"/>
      <c r="B169" s="9"/>
      <c r="C169" s="9"/>
      <c r="D169" s="9"/>
      <c r="E169" s="10"/>
      <c r="F169" s="9"/>
      <c r="G169" s="9"/>
      <c r="H169" s="9"/>
      <c r="I169" s="9"/>
    </row>
    <row r="170" spans="1:9" ht="18" customHeight="1" x14ac:dyDescent="0.2">
      <c r="A170" s="9"/>
      <c r="B170" s="9"/>
      <c r="C170" s="9"/>
      <c r="D170" s="9"/>
      <c r="E170" s="10"/>
      <c r="F170" s="9"/>
      <c r="G170" s="9"/>
      <c r="H170" s="9"/>
      <c r="I170" s="9"/>
    </row>
    <row r="171" spans="1:9" ht="18" customHeight="1" x14ac:dyDescent="0.2">
      <c r="A171" s="9"/>
      <c r="B171" s="9"/>
      <c r="C171" s="9"/>
      <c r="D171" s="9"/>
      <c r="E171" s="10"/>
      <c r="F171" s="9"/>
      <c r="G171" s="9"/>
      <c r="H171" s="9"/>
      <c r="I171" s="9"/>
    </row>
    <row r="172" spans="1:9" ht="18" customHeight="1" x14ac:dyDescent="0.2">
      <c r="A172" s="9"/>
      <c r="B172" s="9"/>
      <c r="C172" s="9"/>
      <c r="D172" s="9"/>
      <c r="E172" s="10"/>
      <c r="F172" s="9"/>
      <c r="G172" s="9"/>
      <c r="H172" s="9"/>
      <c r="I172" s="9"/>
    </row>
    <row r="173" spans="1:9" ht="18" customHeight="1" x14ac:dyDescent="0.2">
      <c r="A173" s="9"/>
      <c r="B173" s="9"/>
      <c r="C173" s="9"/>
      <c r="D173" s="9"/>
      <c r="E173" s="10"/>
      <c r="F173" s="9"/>
      <c r="G173" s="9"/>
      <c r="H173" s="9"/>
      <c r="I173" s="9"/>
    </row>
    <row r="174" spans="1:9" ht="18" customHeight="1" x14ac:dyDescent="0.2">
      <c r="A174" s="9"/>
      <c r="B174" s="9"/>
      <c r="C174" s="9"/>
      <c r="D174" s="9"/>
      <c r="E174" s="10"/>
      <c r="F174" s="9"/>
      <c r="G174" s="9"/>
      <c r="H174" s="9"/>
      <c r="I174" s="9"/>
    </row>
    <row r="175" spans="1:9" ht="18" customHeight="1" x14ac:dyDescent="0.2">
      <c r="A175" s="9"/>
      <c r="B175" s="9"/>
      <c r="C175" s="9"/>
      <c r="D175" s="9"/>
      <c r="E175" s="10"/>
      <c r="F175" s="9"/>
      <c r="G175" s="9"/>
      <c r="H175" s="9"/>
      <c r="I175" s="9"/>
    </row>
    <row r="176" spans="1:9" ht="18" customHeight="1" x14ac:dyDescent="0.2">
      <c r="A176" s="9"/>
      <c r="B176" s="9"/>
      <c r="C176" s="9"/>
      <c r="D176" s="9"/>
      <c r="E176" s="10"/>
      <c r="F176" s="9"/>
      <c r="G176" s="9"/>
      <c r="H176" s="9"/>
      <c r="I176" s="9"/>
    </row>
    <row r="177" spans="1:9" ht="18" customHeight="1" x14ac:dyDescent="0.2">
      <c r="A177" s="9"/>
      <c r="B177" s="9"/>
      <c r="C177" s="9"/>
      <c r="D177" s="9"/>
      <c r="E177" s="10"/>
      <c r="F177" s="9"/>
      <c r="G177" s="9"/>
      <c r="H177" s="9"/>
      <c r="I177" s="9"/>
    </row>
    <row r="178" spans="1:9" ht="18" customHeight="1" x14ac:dyDescent="0.2">
      <c r="A178" s="9"/>
      <c r="B178" s="9"/>
      <c r="C178" s="9"/>
      <c r="D178" s="9"/>
      <c r="E178" s="10"/>
      <c r="F178" s="9"/>
      <c r="G178" s="9"/>
      <c r="H178" s="9"/>
      <c r="I178" s="9"/>
    </row>
    <row r="179" spans="1:9" ht="18" customHeight="1" x14ac:dyDescent="0.2">
      <c r="A179" s="9"/>
      <c r="B179" s="9"/>
      <c r="C179" s="9"/>
      <c r="D179" s="9"/>
      <c r="E179" s="10"/>
      <c r="F179" s="9"/>
      <c r="G179" s="9"/>
      <c r="H179" s="9"/>
      <c r="I179" s="9"/>
    </row>
    <row r="180" spans="1:9" ht="18" customHeight="1" x14ac:dyDescent="0.2">
      <c r="A180" s="9"/>
      <c r="B180" s="9"/>
      <c r="C180" s="9"/>
      <c r="D180" s="9"/>
      <c r="E180" s="10"/>
      <c r="F180" s="9"/>
      <c r="G180" s="9"/>
      <c r="H180" s="9"/>
      <c r="I180" s="9"/>
    </row>
    <row r="181" spans="1:9" ht="18" customHeight="1" x14ac:dyDescent="0.2">
      <c r="A181" s="9"/>
      <c r="B181" s="9"/>
      <c r="C181" s="9"/>
      <c r="D181" s="9"/>
      <c r="E181" s="10"/>
      <c r="F181" s="9"/>
      <c r="G181" s="9"/>
      <c r="H181" s="9"/>
      <c r="I181" s="9"/>
    </row>
    <row r="182" spans="1:9" ht="18" customHeight="1" x14ac:dyDescent="0.2">
      <c r="A182" s="9"/>
      <c r="B182" s="9"/>
      <c r="C182" s="9"/>
      <c r="D182" s="9"/>
      <c r="E182" s="10"/>
      <c r="F182" s="9"/>
      <c r="G182" s="9"/>
      <c r="H182" s="9"/>
      <c r="I182" s="9"/>
    </row>
    <row r="183" spans="1:9" ht="18" customHeight="1" x14ac:dyDescent="0.2">
      <c r="A183" s="9"/>
      <c r="B183" s="9"/>
      <c r="C183" s="9"/>
      <c r="D183" s="9"/>
      <c r="E183" s="10"/>
      <c r="F183" s="9"/>
      <c r="G183" s="9"/>
      <c r="H183" s="9"/>
      <c r="I183" s="9"/>
    </row>
    <row r="184" spans="1:9" ht="18" customHeight="1" x14ac:dyDescent="0.2">
      <c r="A184" s="9"/>
      <c r="B184" s="9"/>
      <c r="C184" s="9"/>
      <c r="D184" s="9"/>
      <c r="E184" s="10"/>
      <c r="F184" s="9"/>
      <c r="G184" s="9"/>
      <c r="H184" s="9"/>
      <c r="I184" s="9"/>
    </row>
    <row r="185" spans="1:9" ht="18" customHeight="1" x14ac:dyDescent="0.2">
      <c r="A185" s="9"/>
      <c r="B185" s="9"/>
      <c r="C185" s="9"/>
      <c r="D185" s="9"/>
      <c r="E185" s="10"/>
      <c r="F185" s="9"/>
      <c r="G185" s="9"/>
      <c r="H185" s="9"/>
      <c r="I185" s="9"/>
    </row>
    <row r="186" spans="1:9" ht="18" customHeight="1" x14ac:dyDescent="0.2">
      <c r="A186" s="9"/>
      <c r="B186" s="9"/>
      <c r="C186" s="9"/>
      <c r="D186" s="9"/>
      <c r="E186" s="10"/>
      <c r="F186" s="9"/>
      <c r="G186" s="9"/>
      <c r="H186" s="9"/>
      <c r="I186" s="9"/>
    </row>
    <row r="187" spans="1:9" ht="18" customHeight="1" x14ac:dyDescent="0.2">
      <c r="A187" s="9"/>
      <c r="B187" s="9"/>
      <c r="C187" s="9"/>
      <c r="D187" s="9"/>
      <c r="E187" s="10"/>
      <c r="F187" s="9"/>
      <c r="G187" s="9"/>
      <c r="H187" s="9"/>
      <c r="I187" s="9"/>
    </row>
    <row r="188" spans="1:9" ht="18" customHeight="1" x14ac:dyDescent="0.2">
      <c r="A188" s="9"/>
      <c r="B188" s="9"/>
      <c r="C188" s="9"/>
      <c r="D188" s="9"/>
      <c r="E188" s="10"/>
      <c r="F188" s="9"/>
      <c r="G188" s="9"/>
      <c r="H188" s="9"/>
      <c r="I188" s="9"/>
    </row>
    <row r="189" spans="1:9" ht="18" customHeight="1" x14ac:dyDescent="0.2">
      <c r="A189" s="9"/>
      <c r="B189" s="9"/>
      <c r="C189" s="9"/>
      <c r="D189" s="9"/>
      <c r="E189" s="10"/>
      <c r="F189" s="9"/>
      <c r="G189" s="9"/>
      <c r="H189" s="9"/>
      <c r="I189" s="9"/>
    </row>
    <row r="190" spans="1:9" ht="18" customHeight="1" x14ac:dyDescent="0.2">
      <c r="A190" s="9"/>
      <c r="B190" s="9"/>
      <c r="C190" s="9"/>
      <c r="D190" s="9"/>
      <c r="E190" s="10"/>
      <c r="F190" s="9"/>
      <c r="G190" s="9"/>
      <c r="H190" s="9"/>
      <c r="I190" s="9"/>
    </row>
    <row r="191" spans="1:9" ht="18" customHeight="1" x14ac:dyDescent="0.2">
      <c r="A191" s="9"/>
      <c r="B191" s="9"/>
      <c r="C191" s="9"/>
      <c r="D191" s="9"/>
      <c r="E191" s="10"/>
      <c r="F191" s="9"/>
      <c r="G191" s="9"/>
      <c r="H191" s="9"/>
      <c r="I191" s="9"/>
    </row>
    <row r="192" spans="1:9" ht="18" customHeight="1" x14ac:dyDescent="0.2">
      <c r="A192" s="9"/>
      <c r="B192" s="9"/>
      <c r="C192" s="9"/>
      <c r="D192" s="9"/>
      <c r="E192" s="10"/>
      <c r="F192" s="9"/>
      <c r="G192" s="9"/>
      <c r="H192" s="9"/>
      <c r="I192" s="9"/>
    </row>
    <row r="193" spans="1:9" ht="18" customHeight="1" x14ac:dyDescent="0.2">
      <c r="A193" s="9"/>
      <c r="B193" s="9"/>
      <c r="C193" s="9"/>
      <c r="D193" s="9"/>
      <c r="E193" s="10"/>
      <c r="F193" s="9"/>
      <c r="G193" s="9"/>
      <c r="H193" s="9"/>
      <c r="I193" s="9"/>
    </row>
    <row r="194" spans="1:9" ht="18" customHeight="1" x14ac:dyDescent="0.2">
      <c r="A194" s="9"/>
      <c r="B194" s="9"/>
      <c r="C194" s="9"/>
      <c r="D194" s="9"/>
      <c r="E194" s="10"/>
      <c r="F194" s="9"/>
      <c r="G194" s="9"/>
      <c r="H194" s="9"/>
      <c r="I194" s="9"/>
    </row>
    <row r="195" spans="1:9" ht="18" customHeight="1" x14ac:dyDescent="0.2">
      <c r="A195" s="9"/>
      <c r="B195" s="9"/>
      <c r="C195" s="9"/>
      <c r="D195" s="9"/>
      <c r="E195" s="10"/>
      <c r="F195" s="9"/>
      <c r="G195" s="9"/>
      <c r="H195" s="9"/>
      <c r="I195" s="9"/>
    </row>
    <row r="196" spans="1:9" ht="18" customHeight="1" x14ac:dyDescent="0.2">
      <c r="A196" s="9"/>
      <c r="B196" s="9"/>
      <c r="C196" s="9"/>
      <c r="D196" s="9"/>
      <c r="E196" s="10"/>
      <c r="F196" s="9"/>
      <c r="G196" s="9"/>
      <c r="H196" s="9"/>
      <c r="I196" s="9"/>
    </row>
    <row r="197" spans="1:9" ht="18" customHeight="1" x14ac:dyDescent="0.2">
      <c r="A197" s="9"/>
      <c r="B197" s="9"/>
      <c r="C197" s="9"/>
      <c r="D197" s="9"/>
      <c r="E197" s="10"/>
      <c r="F197" s="9"/>
      <c r="G197" s="9"/>
      <c r="H197" s="9"/>
      <c r="I197" s="9"/>
    </row>
    <row r="198" spans="1:9" ht="18" customHeight="1" x14ac:dyDescent="0.2">
      <c r="A198" s="9"/>
      <c r="B198" s="9"/>
      <c r="C198" s="9"/>
      <c r="D198" s="9"/>
      <c r="E198" s="10"/>
      <c r="F198" s="9"/>
      <c r="G198" s="9"/>
      <c r="H198" s="9"/>
      <c r="I198" s="9"/>
    </row>
    <row r="199" spans="1:9" ht="18" customHeight="1" x14ac:dyDescent="0.2">
      <c r="A199" s="9"/>
      <c r="B199" s="9"/>
      <c r="C199" s="9"/>
      <c r="D199" s="9"/>
      <c r="E199" s="10"/>
      <c r="F199" s="9"/>
      <c r="G199" s="9"/>
      <c r="H199" s="9"/>
      <c r="I199" s="9"/>
    </row>
    <row r="200" spans="1:9" ht="18" customHeight="1" x14ac:dyDescent="0.2">
      <c r="A200" s="9"/>
      <c r="B200" s="9"/>
      <c r="C200" s="9"/>
      <c r="D200" s="9"/>
      <c r="E200" s="10"/>
      <c r="F200" s="9"/>
      <c r="G200" s="9"/>
      <c r="H200" s="9"/>
      <c r="I200" s="9"/>
    </row>
    <row r="201" spans="1:9" ht="18" customHeight="1" x14ac:dyDescent="0.2">
      <c r="A201" s="9"/>
      <c r="B201" s="9"/>
      <c r="C201" s="9"/>
      <c r="D201" s="9"/>
      <c r="E201" s="10"/>
      <c r="F201" s="9"/>
      <c r="G201" s="9"/>
      <c r="H201" s="9"/>
      <c r="I201" s="9"/>
    </row>
    <row r="202" spans="1:9" ht="18" customHeight="1" x14ac:dyDescent="0.2">
      <c r="A202" s="9"/>
      <c r="B202" s="9"/>
      <c r="C202" s="9"/>
      <c r="D202" s="9"/>
      <c r="E202" s="10"/>
      <c r="F202" s="9"/>
      <c r="G202" s="9"/>
      <c r="H202" s="9"/>
      <c r="I202" s="9"/>
    </row>
    <row r="203" spans="1:9" ht="18" customHeight="1" x14ac:dyDescent="0.2">
      <c r="A203" s="9"/>
      <c r="B203" s="9"/>
      <c r="C203" s="9"/>
      <c r="D203" s="9"/>
      <c r="E203" s="10"/>
      <c r="F203" s="9"/>
      <c r="G203" s="9"/>
      <c r="H203" s="9"/>
      <c r="I203" s="9"/>
    </row>
    <row r="204" spans="1:9" ht="18" customHeight="1" x14ac:dyDescent="0.2">
      <c r="A204" s="9"/>
      <c r="B204" s="9"/>
      <c r="C204" s="9"/>
      <c r="D204" s="9"/>
      <c r="E204" s="10"/>
      <c r="F204" s="9"/>
      <c r="G204" s="9"/>
      <c r="H204" s="9"/>
      <c r="I204" s="9"/>
    </row>
    <row r="205" spans="1:9" ht="18" customHeight="1" x14ac:dyDescent="0.2">
      <c r="A205" s="9"/>
      <c r="B205" s="9"/>
      <c r="C205" s="9"/>
      <c r="D205" s="9"/>
      <c r="E205" s="10"/>
      <c r="F205" s="9"/>
      <c r="G205" s="9"/>
      <c r="H205" s="9"/>
      <c r="I205" s="9"/>
    </row>
    <row r="206" spans="1:9" ht="18" customHeight="1" x14ac:dyDescent="0.2">
      <c r="A206" s="9"/>
      <c r="B206" s="9"/>
      <c r="C206" s="9"/>
      <c r="D206" s="9"/>
      <c r="E206" s="10"/>
      <c r="F206" s="9"/>
      <c r="G206" s="9"/>
      <c r="H206" s="9"/>
      <c r="I206" s="9"/>
    </row>
    <row r="207" spans="1:9" ht="18" customHeight="1" x14ac:dyDescent="0.2">
      <c r="A207" s="9"/>
      <c r="B207" s="9"/>
      <c r="C207" s="9"/>
      <c r="D207" s="9"/>
      <c r="E207" s="10"/>
      <c r="F207" s="9"/>
      <c r="G207" s="9"/>
      <c r="H207" s="9"/>
      <c r="I207" s="9"/>
    </row>
    <row r="208" spans="1:9" ht="18" customHeight="1" x14ac:dyDescent="0.2">
      <c r="A208" s="9"/>
      <c r="B208" s="9"/>
      <c r="C208" s="9"/>
      <c r="D208" s="9"/>
      <c r="E208" s="10"/>
      <c r="F208" s="9"/>
      <c r="G208" s="9"/>
      <c r="H208" s="9"/>
      <c r="I208" s="9"/>
    </row>
    <row r="209" spans="1:9" ht="18" customHeight="1" x14ac:dyDescent="0.2">
      <c r="A209" s="9"/>
      <c r="B209" s="9"/>
      <c r="C209" s="9"/>
      <c r="D209" s="9"/>
      <c r="E209" s="10"/>
      <c r="F209" s="9"/>
      <c r="G209" s="9"/>
      <c r="H209" s="9"/>
      <c r="I209" s="9"/>
    </row>
    <row r="210" spans="1:9" ht="18" customHeight="1" x14ac:dyDescent="0.2">
      <c r="A210" s="9"/>
      <c r="B210" s="9"/>
      <c r="C210" s="9"/>
      <c r="D210" s="9"/>
      <c r="E210" s="10"/>
      <c r="F210" s="9"/>
      <c r="G210" s="9"/>
      <c r="H210" s="9"/>
      <c r="I210" s="9"/>
    </row>
    <row r="211" spans="1:9" ht="18" customHeight="1" x14ac:dyDescent="0.2">
      <c r="A211" s="9"/>
      <c r="B211" s="9"/>
      <c r="C211" s="9"/>
      <c r="D211" s="9"/>
      <c r="E211" s="10"/>
      <c r="F211" s="9"/>
      <c r="G211" s="9"/>
      <c r="H211" s="9"/>
      <c r="I211" s="9"/>
    </row>
    <row r="212" spans="1:9" ht="18" customHeight="1" x14ac:dyDescent="0.2">
      <c r="A212" s="9"/>
      <c r="B212" s="9"/>
      <c r="C212" s="9"/>
      <c r="D212" s="9"/>
      <c r="E212" s="10"/>
      <c r="F212" s="9"/>
      <c r="G212" s="9"/>
      <c r="H212" s="9"/>
      <c r="I212" s="9"/>
    </row>
    <row r="213" spans="1:9" ht="18" customHeight="1" x14ac:dyDescent="0.2">
      <c r="A213" s="9"/>
      <c r="B213" s="9"/>
      <c r="C213" s="9"/>
      <c r="D213" s="9"/>
      <c r="E213" s="10"/>
      <c r="F213" s="9"/>
      <c r="G213" s="9"/>
      <c r="H213" s="9"/>
      <c r="I213" s="9"/>
    </row>
    <row r="214" spans="1:9" ht="18" customHeight="1" x14ac:dyDescent="0.2">
      <c r="A214" s="9"/>
      <c r="B214" s="9"/>
      <c r="C214" s="9"/>
      <c r="D214" s="9"/>
      <c r="E214" s="10"/>
      <c r="F214" s="9"/>
      <c r="G214" s="9"/>
      <c r="H214" s="9"/>
      <c r="I214" s="9"/>
    </row>
    <row r="215" spans="1:9" ht="18" customHeight="1" x14ac:dyDescent="0.2">
      <c r="A215" s="9"/>
      <c r="B215" s="9"/>
      <c r="C215" s="9"/>
      <c r="D215" s="9"/>
      <c r="E215" s="10"/>
      <c r="F215" s="9"/>
      <c r="G215" s="9"/>
      <c r="H215" s="9"/>
      <c r="I215" s="9"/>
    </row>
    <row r="216" spans="1:9" ht="18" customHeight="1" x14ac:dyDescent="0.2">
      <c r="A216" s="9"/>
      <c r="B216" s="9"/>
      <c r="C216" s="9"/>
      <c r="D216" s="9"/>
      <c r="E216" s="10"/>
      <c r="F216" s="9"/>
      <c r="G216" s="9"/>
      <c r="H216" s="9"/>
      <c r="I216" s="9"/>
    </row>
    <row r="217" spans="1:9" ht="18" customHeight="1" x14ac:dyDescent="0.2">
      <c r="A217" s="9"/>
      <c r="B217" s="9"/>
      <c r="C217" s="9"/>
      <c r="D217" s="9"/>
      <c r="E217" s="10"/>
      <c r="F217" s="9"/>
      <c r="G217" s="9"/>
      <c r="H217" s="9"/>
      <c r="I217" s="9"/>
    </row>
    <row r="218" spans="1:9" ht="18" customHeight="1" x14ac:dyDescent="0.2">
      <c r="A218" s="9"/>
      <c r="B218" s="9"/>
      <c r="C218" s="9"/>
      <c r="D218" s="9"/>
      <c r="E218" s="10"/>
      <c r="F218" s="9"/>
      <c r="G218" s="9"/>
      <c r="H218" s="9"/>
      <c r="I218" s="9"/>
    </row>
    <row r="219" spans="1:9" ht="18" customHeight="1" x14ac:dyDescent="0.2">
      <c r="A219" s="9"/>
      <c r="B219" s="9"/>
      <c r="C219" s="9"/>
      <c r="D219" s="9"/>
      <c r="E219" s="10"/>
      <c r="F219" s="9"/>
      <c r="G219" s="9"/>
      <c r="H219" s="9"/>
      <c r="I219" s="9"/>
    </row>
    <row r="220" spans="1:9" ht="18" customHeight="1" x14ac:dyDescent="0.2">
      <c r="A220" s="9"/>
      <c r="B220" s="9"/>
      <c r="C220" s="9"/>
      <c r="D220" s="9"/>
      <c r="E220" s="10"/>
      <c r="F220" s="9"/>
      <c r="G220" s="9"/>
      <c r="H220" s="9"/>
      <c r="I220" s="9"/>
    </row>
    <row r="221" spans="1:9" ht="18" customHeight="1" x14ac:dyDescent="0.2">
      <c r="A221" s="9"/>
      <c r="B221" s="9"/>
      <c r="C221" s="9"/>
      <c r="D221" s="9"/>
      <c r="E221" s="10"/>
      <c r="F221" s="9"/>
      <c r="G221" s="9"/>
      <c r="H221" s="9"/>
      <c r="I221" s="9"/>
    </row>
    <row r="222" spans="1:9" ht="18" customHeight="1" x14ac:dyDescent="0.2">
      <c r="A222" s="9"/>
      <c r="B222" s="9"/>
      <c r="C222" s="9"/>
      <c r="D222" s="9"/>
      <c r="E222" s="10"/>
      <c r="F222" s="9"/>
      <c r="G222" s="9"/>
      <c r="H222" s="9"/>
      <c r="I222" s="9"/>
    </row>
    <row r="223" spans="1:9" ht="18" customHeight="1" x14ac:dyDescent="0.2">
      <c r="A223" s="9"/>
      <c r="B223" s="9"/>
      <c r="C223" s="9"/>
      <c r="D223" s="9"/>
      <c r="E223" s="10"/>
      <c r="F223" s="9"/>
      <c r="G223" s="9"/>
      <c r="H223" s="9"/>
      <c r="I223" s="9"/>
    </row>
    <row r="224" spans="1:9" ht="18" customHeight="1" x14ac:dyDescent="0.2">
      <c r="A224" s="9"/>
      <c r="B224" s="9"/>
      <c r="C224" s="9"/>
      <c r="D224" s="9"/>
      <c r="E224" s="10"/>
      <c r="F224" s="9"/>
      <c r="G224" s="9"/>
      <c r="H224" s="9"/>
      <c r="I224" s="9"/>
    </row>
    <row r="225" spans="1:9" ht="18" customHeight="1" x14ac:dyDescent="0.2">
      <c r="A225" s="9"/>
      <c r="B225" s="9"/>
      <c r="C225" s="9"/>
      <c r="D225" s="9"/>
      <c r="E225" s="10"/>
      <c r="F225" s="9"/>
      <c r="G225" s="9"/>
      <c r="H225" s="9"/>
      <c r="I225" s="9"/>
    </row>
    <row r="226" spans="1:9" ht="18" customHeight="1" x14ac:dyDescent="0.2">
      <c r="A226" s="9"/>
      <c r="B226" s="9"/>
      <c r="C226" s="9"/>
      <c r="D226" s="9"/>
      <c r="E226" s="10"/>
      <c r="F226" s="9"/>
      <c r="G226" s="9"/>
      <c r="H226" s="9"/>
      <c r="I226" s="9"/>
    </row>
    <row r="227" spans="1:9" ht="18" customHeight="1" x14ac:dyDescent="0.2">
      <c r="A227" s="9"/>
      <c r="B227" s="9"/>
      <c r="C227" s="9"/>
      <c r="D227" s="9"/>
      <c r="E227" s="10"/>
      <c r="F227" s="9"/>
      <c r="G227" s="9"/>
      <c r="H227" s="9"/>
      <c r="I227" s="9"/>
    </row>
    <row r="228" spans="1:9" ht="18" customHeight="1" x14ac:dyDescent="0.2">
      <c r="A228" s="9"/>
      <c r="B228" s="9"/>
      <c r="C228" s="9"/>
      <c r="D228" s="9"/>
      <c r="E228" s="10"/>
      <c r="F228" s="9"/>
      <c r="G228" s="9"/>
      <c r="H228" s="9"/>
      <c r="I228" s="9"/>
    </row>
    <row r="229" spans="1:9" ht="18" customHeight="1" x14ac:dyDescent="0.2">
      <c r="A229" s="9"/>
      <c r="B229" s="9"/>
      <c r="C229" s="9"/>
      <c r="D229" s="9"/>
      <c r="E229" s="10"/>
      <c r="F229" s="9"/>
      <c r="G229" s="9"/>
      <c r="H229" s="9"/>
      <c r="I229" s="9"/>
    </row>
    <row r="230" spans="1:9" ht="18" customHeight="1" x14ac:dyDescent="0.2">
      <c r="A230" s="9"/>
      <c r="B230" s="9"/>
      <c r="C230" s="9"/>
      <c r="D230" s="9"/>
      <c r="E230" s="10"/>
      <c r="F230" s="9"/>
      <c r="G230" s="9"/>
      <c r="H230" s="9"/>
      <c r="I230" s="9"/>
    </row>
    <row r="231" spans="1:9" ht="18" customHeight="1" x14ac:dyDescent="0.2">
      <c r="A231" s="9"/>
      <c r="B231" s="9"/>
      <c r="C231" s="9"/>
      <c r="D231" s="9"/>
      <c r="E231" s="10"/>
      <c r="F231" s="9"/>
      <c r="G231" s="9"/>
      <c r="H231" s="9"/>
      <c r="I231" s="9"/>
    </row>
    <row r="232" spans="1:9" ht="18" customHeight="1" x14ac:dyDescent="0.2">
      <c r="A232" s="9"/>
      <c r="B232" s="9"/>
      <c r="C232" s="9"/>
      <c r="D232" s="9"/>
      <c r="E232" s="10"/>
      <c r="F232" s="9"/>
      <c r="G232" s="9"/>
      <c r="H232" s="9"/>
      <c r="I232" s="9"/>
    </row>
    <row r="233" spans="1:9" ht="18" customHeight="1" x14ac:dyDescent="0.2">
      <c r="A233" s="9"/>
      <c r="B233" s="9"/>
      <c r="C233" s="9"/>
      <c r="D233" s="9"/>
      <c r="E233" s="10"/>
      <c r="F233" s="9"/>
      <c r="G233" s="9"/>
      <c r="H233" s="9"/>
      <c r="I233" s="9"/>
    </row>
    <row r="234" spans="1:9" ht="18" customHeight="1" x14ac:dyDescent="0.2">
      <c r="A234" s="9"/>
      <c r="B234" s="9"/>
      <c r="C234" s="9"/>
      <c r="D234" s="9"/>
      <c r="E234" s="10"/>
      <c r="F234" s="9"/>
      <c r="G234" s="9"/>
      <c r="H234" s="9"/>
      <c r="I234" s="9"/>
    </row>
    <row r="235" spans="1:9" ht="18" customHeight="1" x14ac:dyDescent="0.2">
      <c r="A235" s="9"/>
      <c r="B235" s="9"/>
      <c r="C235" s="9"/>
      <c r="D235" s="9"/>
      <c r="E235" s="10"/>
      <c r="F235" s="9"/>
      <c r="G235" s="9"/>
      <c r="H235" s="9"/>
      <c r="I235" s="9"/>
    </row>
    <row r="236" spans="1:9" ht="18" customHeight="1" x14ac:dyDescent="0.2">
      <c r="A236" s="9"/>
      <c r="B236" s="9"/>
      <c r="C236" s="9"/>
      <c r="D236" s="9"/>
      <c r="E236" s="10"/>
      <c r="F236" s="9"/>
      <c r="G236" s="9"/>
      <c r="H236" s="9"/>
      <c r="I236" s="9"/>
    </row>
    <row r="237" spans="1:9" ht="18" customHeight="1" x14ac:dyDescent="0.2">
      <c r="A237" s="9"/>
      <c r="B237" s="9"/>
      <c r="C237" s="9"/>
      <c r="D237" s="9"/>
      <c r="E237" s="10"/>
      <c r="F237" s="9"/>
      <c r="G237" s="9"/>
      <c r="H237" s="9"/>
      <c r="I237" s="9"/>
    </row>
    <row r="238" spans="1:9" ht="18" customHeight="1" x14ac:dyDescent="0.2">
      <c r="A238" s="9"/>
      <c r="B238" s="9"/>
      <c r="C238" s="9"/>
      <c r="D238" s="9"/>
      <c r="E238" s="10"/>
      <c r="F238" s="9"/>
      <c r="G238" s="9"/>
      <c r="H238" s="9"/>
      <c r="I238" s="9"/>
    </row>
    <row r="239" spans="1:9" ht="18" customHeight="1" x14ac:dyDescent="0.2">
      <c r="A239" s="9"/>
      <c r="B239" s="9"/>
      <c r="C239" s="9"/>
      <c r="D239" s="9"/>
      <c r="E239" s="10"/>
      <c r="F239" s="9"/>
      <c r="G239" s="9"/>
      <c r="H239" s="9"/>
      <c r="I239" s="9"/>
    </row>
    <row r="240" spans="1:9" ht="18" customHeight="1" x14ac:dyDescent="0.2">
      <c r="A240" s="9"/>
      <c r="B240" s="9"/>
      <c r="C240" s="9"/>
      <c r="D240" s="9"/>
      <c r="E240" s="10"/>
      <c r="F240" s="9"/>
      <c r="G240" s="9"/>
      <c r="H240" s="9"/>
      <c r="I240" s="9"/>
    </row>
    <row r="241" spans="1:9" ht="18" customHeight="1" x14ac:dyDescent="0.2">
      <c r="A241" s="9"/>
      <c r="B241" s="9"/>
      <c r="C241" s="9"/>
      <c r="D241" s="9"/>
      <c r="E241" s="10"/>
      <c r="F241" s="9"/>
      <c r="G241" s="9"/>
      <c r="H241" s="9"/>
      <c r="I241" s="9"/>
    </row>
    <row r="242" spans="1:9" ht="18" customHeight="1" x14ac:dyDescent="0.2">
      <c r="A242" s="9"/>
      <c r="B242" s="9"/>
      <c r="C242" s="9"/>
      <c r="D242" s="9"/>
      <c r="E242" s="10"/>
      <c r="F242" s="9"/>
      <c r="G242" s="9"/>
      <c r="H242" s="9"/>
      <c r="I242" s="9"/>
    </row>
    <row r="243" spans="1:9" ht="18" customHeight="1" x14ac:dyDescent="0.2">
      <c r="A243" s="9"/>
      <c r="B243" s="9"/>
      <c r="C243" s="9"/>
      <c r="D243" s="9"/>
      <c r="E243" s="10"/>
      <c r="F243" s="9"/>
      <c r="G243" s="9"/>
      <c r="H243" s="9"/>
      <c r="I243" s="9"/>
    </row>
    <row r="244" spans="1:9" ht="18" customHeight="1" x14ac:dyDescent="0.2">
      <c r="A244" s="9"/>
      <c r="B244" s="9"/>
      <c r="C244" s="9"/>
      <c r="D244" s="9"/>
      <c r="E244" s="10"/>
      <c r="F244" s="9"/>
      <c r="G244" s="9"/>
      <c r="H244" s="9"/>
      <c r="I244" s="9"/>
    </row>
    <row r="245" spans="1:9" ht="18" customHeight="1" x14ac:dyDescent="0.2">
      <c r="A245" s="9"/>
      <c r="B245" s="9"/>
      <c r="C245" s="9"/>
      <c r="D245" s="9"/>
      <c r="E245" s="10"/>
      <c r="F245" s="9"/>
      <c r="G245" s="9"/>
      <c r="H245" s="9"/>
      <c r="I245" s="9"/>
    </row>
    <row r="246" spans="1:9" ht="18" customHeight="1" x14ac:dyDescent="0.2">
      <c r="A246" s="9"/>
      <c r="B246" s="9"/>
      <c r="C246" s="9"/>
      <c r="D246" s="9"/>
      <c r="E246" s="10"/>
      <c r="F246" s="9"/>
      <c r="G246" s="9"/>
      <c r="H246" s="9"/>
      <c r="I246" s="9"/>
    </row>
    <row r="247" spans="1:9" ht="18" customHeight="1" x14ac:dyDescent="0.2">
      <c r="A247" s="9"/>
      <c r="B247" s="9"/>
      <c r="C247" s="9"/>
      <c r="D247" s="9"/>
      <c r="E247" s="10"/>
      <c r="F247" s="9"/>
      <c r="G247" s="9"/>
      <c r="H247" s="9"/>
      <c r="I247" s="9"/>
    </row>
    <row r="248" spans="1:9" ht="18" customHeight="1" x14ac:dyDescent="0.2">
      <c r="A248" s="9"/>
      <c r="B248" s="9"/>
      <c r="C248" s="9"/>
      <c r="D248" s="9"/>
      <c r="E248" s="10"/>
      <c r="F248" s="9"/>
      <c r="G248" s="9"/>
      <c r="H248" s="9"/>
      <c r="I248" s="9"/>
    </row>
    <row r="249" spans="1:9" ht="18" customHeight="1" x14ac:dyDescent="0.2">
      <c r="A249" s="9"/>
      <c r="B249" s="9"/>
      <c r="C249" s="9"/>
      <c r="D249" s="9"/>
      <c r="E249" s="10"/>
      <c r="F249" s="9"/>
      <c r="G249" s="9"/>
      <c r="H249" s="9"/>
      <c r="I249" s="9"/>
    </row>
    <row r="250" spans="1:9" ht="18" customHeight="1" x14ac:dyDescent="0.2">
      <c r="A250" s="9"/>
      <c r="B250" s="9"/>
      <c r="C250" s="9"/>
      <c r="D250" s="9"/>
      <c r="E250" s="10"/>
      <c r="F250" s="9"/>
      <c r="G250" s="9"/>
      <c r="H250" s="9"/>
      <c r="I250" s="9"/>
    </row>
    <row r="251" spans="1:9" ht="18" customHeight="1" x14ac:dyDescent="0.2">
      <c r="A251" s="9"/>
      <c r="B251" s="9"/>
      <c r="C251" s="9"/>
      <c r="D251" s="9"/>
      <c r="E251" s="10"/>
      <c r="F251" s="9"/>
      <c r="G251" s="9"/>
      <c r="H251" s="9"/>
      <c r="I251" s="9"/>
    </row>
    <row r="252" spans="1:9" ht="18" customHeight="1" x14ac:dyDescent="0.2">
      <c r="A252" s="9"/>
      <c r="B252" s="9"/>
      <c r="C252" s="9"/>
      <c r="D252" s="9"/>
      <c r="E252" s="10"/>
      <c r="F252" s="9"/>
      <c r="G252" s="9"/>
      <c r="H252" s="9"/>
      <c r="I252" s="9"/>
    </row>
    <row r="253" spans="1:9" ht="18" customHeight="1" x14ac:dyDescent="0.2">
      <c r="A253" s="9"/>
      <c r="B253" s="9"/>
      <c r="C253" s="9"/>
      <c r="D253" s="9"/>
      <c r="E253" s="10"/>
      <c r="F253" s="9"/>
      <c r="G253" s="9"/>
      <c r="H253" s="9"/>
      <c r="I253" s="9"/>
    </row>
    <row r="254" spans="1:9" ht="18" customHeight="1" x14ac:dyDescent="0.2">
      <c r="A254" s="9"/>
      <c r="B254" s="9"/>
      <c r="C254" s="9"/>
      <c r="D254" s="9"/>
      <c r="E254" s="10"/>
      <c r="F254" s="9"/>
      <c r="G254" s="9"/>
      <c r="H254" s="9"/>
      <c r="I254" s="9"/>
    </row>
    <row r="255" spans="1:9" ht="18" customHeight="1" x14ac:dyDescent="0.2">
      <c r="A255" s="9"/>
      <c r="B255" s="9"/>
      <c r="C255" s="9"/>
      <c r="D255" s="9"/>
      <c r="E255" s="10"/>
      <c r="F255" s="9"/>
      <c r="G255" s="9"/>
      <c r="H255" s="9"/>
      <c r="I255" s="9"/>
    </row>
    <row r="256" spans="1:9" ht="18" customHeight="1" x14ac:dyDescent="0.2">
      <c r="A256" s="9"/>
      <c r="B256" s="9"/>
      <c r="C256" s="9"/>
      <c r="D256" s="9"/>
      <c r="E256" s="10"/>
      <c r="F256" s="9"/>
      <c r="G256" s="9"/>
      <c r="H256" s="9"/>
      <c r="I256" s="9"/>
    </row>
    <row r="257" spans="1:9" ht="18" customHeight="1" x14ac:dyDescent="0.2">
      <c r="A257" s="9"/>
      <c r="B257" s="9"/>
      <c r="C257" s="9"/>
      <c r="D257" s="9"/>
      <c r="E257" s="10"/>
      <c r="F257" s="9"/>
      <c r="G257" s="9"/>
      <c r="H257" s="9"/>
      <c r="I257" s="9"/>
    </row>
    <row r="258" spans="1:9" ht="18" customHeight="1" x14ac:dyDescent="0.2">
      <c r="A258" s="9"/>
      <c r="B258" s="9"/>
      <c r="C258" s="9"/>
      <c r="D258" s="9"/>
      <c r="E258" s="10"/>
      <c r="F258" s="9"/>
      <c r="G258" s="9"/>
      <c r="H258" s="9"/>
      <c r="I258" s="9"/>
    </row>
    <row r="259" spans="1:9" ht="18" customHeight="1" x14ac:dyDescent="0.2">
      <c r="A259" s="9"/>
      <c r="B259" s="9"/>
      <c r="C259" s="9"/>
      <c r="D259" s="9"/>
      <c r="E259" s="10"/>
      <c r="F259" s="9"/>
      <c r="G259" s="9"/>
      <c r="H259" s="9"/>
      <c r="I259" s="9"/>
    </row>
    <row r="260" spans="1:9" ht="18" customHeight="1" x14ac:dyDescent="0.2">
      <c r="A260" s="9"/>
      <c r="B260" s="9"/>
      <c r="C260" s="9"/>
      <c r="D260" s="9"/>
      <c r="E260" s="10"/>
      <c r="F260" s="9"/>
      <c r="G260" s="9"/>
      <c r="H260" s="9"/>
      <c r="I260" s="9"/>
    </row>
    <row r="261" spans="1:9" ht="18" customHeight="1" x14ac:dyDescent="0.2">
      <c r="A261" s="9"/>
      <c r="B261" s="9"/>
      <c r="C261" s="9"/>
      <c r="D261" s="9"/>
      <c r="E261" s="10"/>
      <c r="F261" s="9"/>
      <c r="G261" s="9"/>
      <c r="H261" s="9"/>
      <c r="I261" s="9"/>
    </row>
    <row r="262" spans="1:9" ht="18" customHeight="1" x14ac:dyDescent="0.2">
      <c r="A262" s="9"/>
      <c r="B262" s="9"/>
      <c r="C262" s="9"/>
      <c r="D262" s="9"/>
      <c r="E262" s="10"/>
      <c r="F262" s="9"/>
      <c r="G262" s="9"/>
      <c r="H262" s="9"/>
      <c r="I262" s="9"/>
    </row>
    <row r="263" spans="1:9" ht="18" customHeight="1" x14ac:dyDescent="0.2">
      <c r="A263" s="9"/>
      <c r="B263" s="9"/>
      <c r="C263" s="9"/>
      <c r="D263" s="9"/>
      <c r="E263" s="10"/>
      <c r="F263" s="9"/>
      <c r="G263" s="9"/>
      <c r="H263" s="9"/>
      <c r="I263" s="9"/>
    </row>
    <row r="264" spans="1:9" ht="18" customHeight="1" x14ac:dyDescent="0.2">
      <c r="A264" s="9"/>
      <c r="B264" s="9"/>
      <c r="C264" s="9"/>
      <c r="D264" s="9"/>
      <c r="E264" s="10"/>
      <c r="F264" s="9"/>
      <c r="G264" s="9"/>
      <c r="H264" s="9"/>
      <c r="I264" s="9"/>
    </row>
    <row r="265" spans="1:9" ht="18" customHeight="1" x14ac:dyDescent="0.2">
      <c r="A265" s="9"/>
      <c r="B265" s="9"/>
      <c r="C265" s="9"/>
      <c r="D265" s="9"/>
      <c r="E265" s="10"/>
      <c r="F265" s="9"/>
      <c r="G265" s="9"/>
      <c r="H265" s="9"/>
      <c r="I265" s="9"/>
    </row>
    <row r="266" spans="1:9" ht="18" customHeight="1" x14ac:dyDescent="0.2">
      <c r="A266" s="9"/>
      <c r="B266" s="9"/>
      <c r="C266" s="9"/>
      <c r="D266" s="9"/>
      <c r="E266" s="10"/>
      <c r="F266" s="9"/>
      <c r="G266" s="9"/>
      <c r="H266" s="9"/>
      <c r="I266" s="9"/>
    </row>
    <row r="267" spans="1:9" ht="18" customHeight="1" x14ac:dyDescent="0.2">
      <c r="A267" s="9"/>
      <c r="B267" s="9"/>
      <c r="C267" s="9"/>
      <c r="D267" s="9"/>
      <c r="E267" s="10"/>
      <c r="F267" s="9"/>
      <c r="G267" s="9"/>
      <c r="H267" s="9"/>
      <c r="I267" s="9"/>
    </row>
    <row r="268" spans="1:9" ht="18" customHeight="1" x14ac:dyDescent="0.2">
      <c r="A268" s="9"/>
      <c r="B268" s="9"/>
      <c r="C268" s="9"/>
      <c r="D268" s="9"/>
      <c r="E268" s="10"/>
      <c r="F268" s="9"/>
      <c r="G268" s="9"/>
      <c r="H268" s="9"/>
      <c r="I268" s="9"/>
    </row>
    <row r="269" spans="1:9" ht="18" customHeight="1" x14ac:dyDescent="0.2">
      <c r="A269" s="9"/>
      <c r="B269" s="9"/>
      <c r="C269" s="9"/>
      <c r="D269" s="9"/>
      <c r="E269" s="10"/>
      <c r="F269" s="9"/>
      <c r="G269" s="9"/>
      <c r="H269" s="9"/>
      <c r="I269" s="9"/>
    </row>
    <row r="270" spans="1:9" ht="18" customHeight="1" x14ac:dyDescent="0.2">
      <c r="A270" s="9"/>
      <c r="B270" s="9"/>
      <c r="C270" s="9"/>
      <c r="D270" s="9"/>
      <c r="E270" s="10"/>
      <c r="F270" s="9"/>
      <c r="G270" s="9"/>
      <c r="H270" s="9"/>
      <c r="I270" s="9"/>
    </row>
    <row r="271" spans="1:9" ht="18" customHeight="1" x14ac:dyDescent="0.2">
      <c r="A271" s="9"/>
      <c r="B271" s="9"/>
      <c r="C271" s="9"/>
      <c r="D271" s="9"/>
      <c r="E271" s="10"/>
      <c r="F271" s="9"/>
      <c r="G271" s="9"/>
      <c r="H271" s="9"/>
      <c r="I271" s="9"/>
    </row>
    <row r="272" spans="1:9" ht="18" customHeight="1" x14ac:dyDescent="0.2">
      <c r="A272" s="9"/>
      <c r="B272" s="9"/>
      <c r="C272" s="9"/>
      <c r="D272" s="9"/>
      <c r="E272" s="10"/>
      <c r="F272" s="9"/>
      <c r="G272" s="9"/>
      <c r="H272" s="9"/>
      <c r="I272" s="9"/>
    </row>
    <row r="273" spans="1:9" ht="18" customHeight="1" x14ac:dyDescent="0.2">
      <c r="A273" s="9"/>
      <c r="B273" s="9"/>
      <c r="C273" s="9"/>
      <c r="D273" s="9"/>
      <c r="E273" s="10"/>
      <c r="F273" s="9"/>
      <c r="G273" s="9"/>
      <c r="H273" s="9"/>
      <c r="I273" s="9"/>
    </row>
    <row r="274" spans="1:9" ht="18" customHeight="1" x14ac:dyDescent="0.2">
      <c r="A274" s="9"/>
      <c r="B274" s="9"/>
      <c r="C274" s="9"/>
      <c r="D274" s="9"/>
      <c r="E274" s="10"/>
      <c r="F274" s="9"/>
      <c r="G274" s="9"/>
      <c r="H274" s="9"/>
      <c r="I274" s="9"/>
    </row>
    <row r="275" spans="1:9" ht="18" customHeight="1" x14ac:dyDescent="0.2">
      <c r="A275" s="9"/>
      <c r="B275" s="9"/>
      <c r="C275" s="9"/>
      <c r="D275" s="9"/>
      <c r="E275" s="10"/>
      <c r="F275" s="9"/>
      <c r="G275" s="9"/>
      <c r="H275" s="9"/>
      <c r="I275" s="9"/>
    </row>
    <row r="276" spans="1:9" ht="18" customHeight="1" x14ac:dyDescent="0.2">
      <c r="A276" s="9"/>
      <c r="B276" s="9"/>
      <c r="C276" s="9"/>
      <c r="D276" s="9"/>
      <c r="E276" s="10"/>
      <c r="F276" s="9"/>
      <c r="G276" s="9"/>
      <c r="H276" s="9"/>
      <c r="I276" s="9"/>
    </row>
    <row r="277" spans="1:9" ht="18" customHeight="1" x14ac:dyDescent="0.2">
      <c r="A277" s="9"/>
      <c r="B277" s="9"/>
      <c r="C277" s="9"/>
      <c r="D277" s="9"/>
      <c r="E277" s="10"/>
      <c r="F277" s="9"/>
      <c r="G277" s="9"/>
      <c r="H277" s="9"/>
      <c r="I277" s="9"/>
    </row>
    <row r="278" spans="1:9" ht="18" customHeight="1" x14ac:dyDescent="0.2">
      <c r="A278" s="9"/>
      <c r="B278" s="9"/>
      <c r="C278" s="9"/>
      <c r="D278" s="9"/>
      <c r="E278" s="10"/>
      <c r="F278" s="9"/>
      <c r="G278" s="9"/>
      <c r="H278" s="9"/>
      <c r="I278" s="9"/>
    </row>
    <row r="279" spans="1:9" ht="18" customHeight="1" x14ac:dyDescent="0.2">
      <c r="A279" s="9"/>
      <c r="B279" s="9"/>
      <c r="C279" s="9"/>
      <c r="D279" s="9"/>
      <c r="E279" s="10"/>
      <c r="F279" s="9"/>
      <c r="G279" s="9"/>
      <c r="H279" s="9"/>
      <c r="I279" s="9"/>
    </row>
    <row r="280" spans="1:9" ht="18" customHeight="1" x14ac:dyDescent="0.2">
      <c r="A280" s="9"/>
      <c r="B280" s="9"/>
      <c r="C280" s="9"/>
      <c r="D280" s="9"/>
      <c r="E280" s="10"/>
      <c r="F280" s="9"/>
      <c r="G280" s="9"/>
      <c r="H280" s="9"/>
      <c r="I280" s="9"/>
    </row>
    <row r="281" spans="1:9" ht="18" customHeight="1" x14ac:dyDescent="0.2">
      <c r="A281" s="9"/>
      <c r="B281" s="9"/>
      <c r="C281" s="9"/>
      <c r="D281" s="9"/>
      <c r="E281" s="10"/>
      <c r="F281" s="9"/>
      <c r="G281" s="9"/>
      <c r="H281" s="9"/>
      <c r="I281" s="9"/>
    </row>
    <row r="282" spans="1:9" ht="18" customHeight="1" x14ac:dyDescent="0.2">
      <c r="A282" s="9"/>
      <c r="B282" s="9"/>
      <c r="C282" s="9"/>
      <c r="D282" s="9"/>
      <c r="E282" s="10"/>
      <c r="F282" s="9"/>
      <c r="G282" s="9"/>
      <c r="H282" s="9"/>
      <c r="I282" s="9"/>
    </row>
    <row r="283" spans="1:9" ht="18" customHeight="1" x14ac:dyDescent="0.2">
      <c r="A283" s="9"/>
      <c r="B283" s="9"/>
      <c r="C283" s="9"/>
      <c r="D283" s="9"/>
      <c r="E283" s="10"/>
      <c r="F283" s="9"/>
      <c r="G283" s="9"/>
      <c r="H283" s="9"/>
      <c r="I283" s="9"/>
    </row>
    <row r="284" spans="1:9" ht="18" customHeight="1" x14ac:dyDescent="0.2">
      <c r="A284" s="9"/>
      <c r="B284" s="9"/>
      <c r="C284" s="9"/>
      <c r="D284" s="9"/>
      <c r="E284" s="10"/>
      <c r="F284" s="9"/>
      <c r="G284" s="9"/>
      <c r="H284" s="9"/>
      <c r="I284" s="9"/>
    </row>
    <row r="285" spans="1:9" ht="18" customHeight="1" x14ac:dyDescent="0.2">
      <c r="A285" s="9"/>
      <c r="B285" s="9"/>
      <c r="C285" s="9"/>
      <c r="D285" s="9"/>
      <c r="E285" s="10"/>
      <c r="F285" s="9"/>
      <c r="G285" s="9"/>
      <c r="H285" s="9"/>
      <c r="I285" s="9"/>
    </row>
    <row r="286" spans="1:9" ht="18" customHeight="1" x14ac:dyDescent="0.2">
      <c r="A286" s="9"/>
      <c r="B286" s="9"/>
      <c r="C286" s="9"/>
      <c r="D286" s="9"/>
      <c r="E286" s="10"/>
      <c r="F286" s="9"/>
      <c r="G286" s="9"/>
      <c r="H286" s="9"/>
      <c r="I286" s="9"/>
    </row>
    <row r="287" spans="1:9" ht="18" customHeight="1" x14ac:dyDescent="0.2">
      <c r="A287" s="9"/>
      <c r="B287" s="9"/>
      <c r="C287" s="9"/>
      <c r="D287" s="9"/>
      <c r="E287" s="10"/>
      <c r="F287" s="9"/>
      <c r="G287" s="9"/>
      <c r="H287" s="9"/>
      <c r="I287" s="9"/>
    </row>
    <row r="288" spans="1:9" ht="18" customHeight="1" x14ac:dyDescent="0.2">
      <c r="A288" s="9"/>
      <c r="B288" s="9"/>
      <c r="C288" s="9"/>
      <c r="D288" s="9"/>
      <c r="E288" s="10"/>
      <c r="F288" s="9"/>
      <c r="G288" s="9"/>
      <c r="H288" s="9"/>
      <c r="I288" s="9"/>
    </row>
    <row r="289" spans="1:9" ht="18" customHeight="1" x14ac:dyDescent="0.2">
      <c r="A289" s="9"/>
      <c r="B289" s="9"/>
      <c r="C289" s="9"/>
      <c r="D289" s="9"/>
      <c r="E289" s="10"/>
      <c r="F289" s="9"/>
      <c r="G289" s="9"/>
      <c r="H289" s="9"/>
      <c r="I289" s="9"/>
    </row>
    <row r="290" spans="1:9" ht="18" customHeight="1" x14ac:dyDescent="0.2">
      <c r="A290" s="9"/>
      <c r="B290" s="9"/>
      <c r="C290" s="9"/>
      <c r="D290" s="9"/>
      <c r="E290" s="10"/>
      <c r="F290" s="9"/>
      <c r="G290" s="9"/>
      <c r="H290" s="9"/>
      <c r="I290" s="9"/>
    </row>
    <row r="291" spans="1:9" ht="18" customHeight="1" x14ac:dyDescent="0.2">
      <c r="A291" s="9"/>
      <c r="B291" s="9"/>
      <c r="C291" s="9"/>
      <c r="D291" s="9"/>
      <c r="E291" s="10"/>
      <c r="F291" s="9"/>
      <c r="G291" s="9"/>
      <c r="H291" s="9"/>
      <c r="I291" s="9"/>
    </row>
    <row r="292" spans="1:9" ht="18" customHeight="1" x14ac:dyDescent="0.2">
      <c r="A292" s="9"/>
      <c r="B292" s="9"/>
      <c r="C292" s="9"/>
      <c r="D292" s="9"/>
      <c r="E292" s="10"/>
      <c r="F292" s="9"/>
      <c r="G292" s="9"/>
      <c r="H292" s="9"/>
      <c r="I292" s="9"/>
    </row>
    <row r="293" spans="1:9" ht="18" customHeight="1" x14ac:dyDescent="0.2">
      <c r="A293" s="9"/>
      <c r="B293" s="9"/>
      <c r="C293" s="9"/>
      <c r="D293" s="9"/>
      <c r="E293" s="10"/>
      <c r="F293" s="9"/>
      <c r="G293" s="9"/>
      <c r="H293" s="9"/>
      <c r="I293" s="9"/>
    </row>
    <row r="294" spans="1:9" ht="18" customHeight="1" x14ac:dyDescent="0.2">
      <c r="A294" s="9"/>
      <c r="B294" s="9"/>
      <c r="C294" s="9"/>
      <c r="D294" s="9"/>
      <c r="E294" s="10"/>
      <c r="F294" s="9"/>
      <c r="G294" s="9"/>
      <c r="H294" s="9"/>
      <c r="I294" s="9"/>
    </row>
    <row r="295" spans="1:9" ht="18" customHeight="1" x14ac:dyDescent="0.2">
      <c r="A295" s="9"/>
      <c r="B295" s="9"/>
      <c r="C295" s="9"/>
      <c r="D295" s="9"/>
      <c r="E295" s="10"/>
      <c r="F295" s="9"/>
      <c r="G295" s="9"/>
      <c r="H295" s="9"/>
      <c r="I295" s="9"/>
    </row>
    <row r="296" spans="1:9" ht="18" customHeight="1" x14ac:dyDescent="0.2">
      <c r="A296" s="9"/>
      <c r="B296" s="9"/>
      <c r="C296" s="9"/>
      <c r="D296" s="9"/>
      <c r="E296" s="10"/>
      <c r="F296" s="9"/>
      <c r="G296" s="9"/>
      <c r="H296" s="9"/>
      <c r="I296" s="9"/>
    </row>
    <row r="297" spans="1:9" ht="18" customHeight="1" x14ac:dyDescent="0.2">
      <c r="A297" s="9"/>
      <c r="B297" s="9"/>
      <c r="C297" s="9"/>
      <c r="D297" s="9"/>
      <c r="E297" s="10"/>
      <c r="F297" s="9"/>
      <c r="G297" s="9"/>
      <c r="H297" s="9"/>
      <c r="I297" s="9"/>
    </row>
    <row r="298" spans="1:9" ht="18" customHeight="1" x14ac:dyDescent="0.2">
      <c r="A298" s="9"/>
      <c r="B298" s="9"/>
      <c r="C298" s="9"/>
      <c r="D298" s="9"/>
      <c r="E298" s="10"/>
      <c r="F298" s="9"/>
      <c r="G298" s="9"/>
      <c r="H298" s="9"/>
      <c r="I298" s="9"/>
    </row>
    <row r="299" spans="1:9" ht="18" customHeight="1" x14ac:dyDescent="0.2">
      <c r="A299" s="9"/>
      <c r="B299" s="9"/>
      <c r="C299" s="9"/>
      <c r="D299" s="9"/>
      <c r="E299" s="10"/>
      <c r="F299" s="9"/>
      <c r="G299" s="9"/>
      <c r="H299" s="9"/>
      <c r="I299" s="9"/>
    </row>
    <row r="300" spans="1:9" ht="18" customHeight="1" x14ac:dyDescent="0.2">
      <c r="A300" s="9"/>
      <c r="B300" s="9"/>
      <c r="C300" s="9"/>
      <c r="D300" s="9"/>
      <c r="E300" s="10"/>
      <c r="F300" s="9"/>
      <c r="G300" s="9"/>
      <c r="H300" s="9"/>
      <c r="I300" s="9"/>
    </row>
    <row r="301" spans="1:9" ht="18" customHeight="1" x14ac:dyDescent="0.2">
      <c r="A301" s="9"/>
      <c r="B301" s="9"/>
      <c r="C301" s="9"/>
      <c r="D301" s="9"/>
      <c r="E301" s="10"/>
      <c r="F301" s="9"/>
      <c r="G301" s="9"/>
      <c r="H301" s="9"/>
      <c r="I301" s="9"/>
    </row>
    <row r="302" spans="1:9" ht="18" customHeight="1" x14ac:dyDescent="0.2">
      <c r="A302" s="9"/>
      <c r="B302" s="9"/>
      <c r="C302" s="9"/>
      <c r="D302" s="9"/>
      <c r="E302" s="10"/>
      <c r="F302" s="9"/>
      <c r="G302" s="9"/>
      <c r="H302" s="9"/>
      <c r="I302" s="9"/>
    </row>
    <row r="303" spans="1:9" ht="18" customHeight="1" x14ac:dyDescent="0.2">
      <c r="A303" s="9"/>
      <c r="B303" s="9"/>
      <c r="C303" s="9"/>
      <c r="D303" s="9"/>
      <c r="E303" s="10"/>
      <c r="F303" s="9"/>
      <c r="G303" s="9"/>
      <c r="H303" s="9"/>
      <c r="I303" s="9"/>
    </row>
    <row r="304" spans="1:9" ht="18" customHeight="1" x14ac:dyDescent="0.2">
      <c r="A304" s="9"/>
      <c r="B304" s="9"/>
      <c r="C304" s="9"/>
      <c r="D304" s="9"/>
      <c r="E304" s="10"/>
      <c r="F304" s="9"/>
      <c r="G304" s="9"/>
      <c r="H304" s="9"/>
      <c r="I304" s="9"/>
    </row>
    <row r="305" spans="1:9" ht="18" customHeight="1" x14ac:dyDescent="0.2">
      <c r="A305" s="9"/>
      <c r="B305" s="9"/>
      <c r="C305" s="9"/>
      <c r="D305" s="9"/>
      <c r="E305" s="10"/>
      <c r="F305" s="9"/>
      <c r="G305" s="9"/>
      <c r="H305" s="9"/>
      <c r="I305" s="9"/>
    </row>
    <row r="306" spans="1:9" ht="18" customHeight="1" x14ac:dyDescent="0.2">
      <c r="A306" s="9"/>
      <c r="B306" s="9"/>
      <c r="C306" s="9"/>
      <c r="D306" s="9"/>
      <c r="E306" s="10"/>
      <c r="F306" s="9"/>
      <c r="G306" s="9"/>
      <c r="H306" s="9"/>
      <c r="I306" s="9"/>
    </row>
    <row r="307" spans="1:9" ht="18" customHeight="1" x14ac:dyDescent="0.2">
      <c r="A307" s="9"/>
      <c r="B307" s="9"/>
      <c r="C307" s="9"/>
      <c r="D307" s="9"/>
      <c r="E307" s="10"/>
      <c r="F307" s="9"/>
      <c r="G307" s="9"/>
      <c r="H307" s="9"/>
      <c r="I307" s="9"/>
    </row>
    <row r="308" spans="1:9" ht="18" customHeight="1" x14ac:dyDescent="0.2">
      <c r="A308" s="9"/>
      <c r="B308" s="9"/>
      <c r="C308" s="9"/>
      <c r="D308" s="9"/>
      <c r="E308" s="10"/>
      <c r="F308" s="9"/>
      <c r="G308" s="9"/>
      <c r="H308" s="9"/>
      <c r="I308" s="9"/>
    </row>
    <row r="309" spans="1:9" ht="18" customHeight="1" x14ac:dyDescent="0.2">
      <c r="A309" s="9"/>
      <c r="B309" s="9"/>
      <c r="C309" s="9"/>
      <c r="D309" s="9"/>
      <c r="E309" s="10"/>
      <c r="F309" s="9"/>
      <c r="G309" s="9"/>
      <c r="H309" s="9"/>
      <c r="I309" s="9"/>
    </row>
    <row r="310" spans="1:9" ht="18" customHeight="1" x14ac:dyDescent="0.2">
      <c r="A310" s="9"/>
      <c r="B310" s="9"/>
      <c r="C310" s="9"/>
      <c r="D310" s="9"/>
      <c r="E310" s="10"/>
      <c r="F310" s="9"/>
      <c r="G310" s="9"/>
      <c r="H310" s="9"/>
      <c r="I310" s="9"/>
    </row>
    <row r="311" spans="1:9" ht="18" customHeight="1" x14ac:dyDescent="0.2">
      <c r="A311" s="9"/>
      <c r="B311" s="9"/>
      <c r="C311" s="9"/>
      <c r="D311" s="9"/>
      <c r="E311" s="10"/>
      <c r="F311" s="9"/>
      <c r="G311" s="9"/>
      <c r="H311" s="9"/>
      <c r="I311" s="9"/>
    </row>
    <row r="312" spans="1:9" ht="18" customHeight="1" x14ac:dyDescent="0.2">
      <c r="A312" s="9"/>
      <c r="B312" s="9"/>
      <c r="C312" s="9"/>
      <c r="D312" s="9"/>
      <c r="E312" s="10"/>
      <c r="F312" s="9"/>
      <c r="G312" s="9"/>
      <c r="H312" s="9"/>
      <c r="I312" s="9"/>
    </row>
    <row r="313" spans="1:9" ht="18" customHeight="1" x14ac:dyDescent="0.2">
      <c r="A313" s="9"/>
      <c r="B313" s="9"/>
      <c r="C313" s="9"/>
      <c r="D313" s="9"/>
      <c r="E313" s="10"/>
      <c r="F313" s="9"/>
      <c r="G313" s="9"/>
      <c r="H313" s="9"/>
      <c r="I313" s="9"/>
    </row>
    <row r="314" spans="1:9" ht="18" customHeight="1" x14ac:dyDescent="0.2">
      <c r="A314" s="9"/>
      <c r="B314" s="9"/>
      <c r="C314" s="9"/>
      <c r="D314" s="9"/>
      <c r="E314" s="10"/>
      <c r="F314" s="9"/>
      <c r="G314" s="9"/>
      <c r="H314" s="9"/>
      <c r="I314" s="9"/>
    </row>
    <row r="315" spans="1:9" ht="18" customHeight="1" x14ac:dyDescent="0.2">
      <c r="A315" s="9"/>
      <c r="B315" s="9"/>
      <c r="C315" s="9"/>
      <c r="D315" s="9"/>
      <c r="E315" s="10"/>
      <c r="F315" s="9"/>
      <c r="G315" s="9"/>
      <c r="H315" s="9"/>
      <c r="I315" s="9"/>
    </row>
    <row r="316" spans="1:9" ht="18" customHeight="1" x14ac:dyDescent="0.2">
      <c r="A316" s="9"/>
      <c r="B316" s="9"/>
      <c r="C316" s="9"/>
      <c r="D316" s="9"/>
      <c r="E316" s="10"/>
      <c r="F316" s="9"/>
      <c r="G316" s="9"/>
      <c r="H316" s="9"/>
      <c r="I316" s="9"/>
    </row>
    <row r="317" spans="1:9" ht="18" customHeight="1" x14ac:dyDescent="0.2">
      <c r="A317" s="9"/>
      <c r="B317" s="9"/>
      <c r="C317" s="9"/>
      <c r="D317" s="9"/>
      <c r="E317" s="10"/>
      <c r="F317" s="9"/>
      <c r="G317" s="9"/>
      <c r="H317" s="9"/>
      <c r="I317" s="9"/>
    </row>
    <row r="318" spans="1:9" ht="18" customHeight="1" x14ac:dyDescent="0.2">
      <c r="A318" s="9"/>
      <c r="B318" s="9"/>
      <c r="C318" s="9"/>
      <c r="D318" s="9"/>
      <c r="E318" s="10"/>
      <c r="F318" s="9"/>
      <c r="G318" s="9"/>
      <c r="H318" s="9"/>
      <c r="I318" s="9"/>
    </row>
    <row r="319" spans="1:9" ht="18" customHeight="1" x14ac:dyDescent="0.2">
      <c r="A319" s="9"/>
      <c r="B319" s="9"/>
      <c r="C319" s="9"/>
      <c r="D319" s="9"/>
      <c r="E319" s="10"/>
      <c r="F319" s="9"/>
      <c r="G319" s="9"/>
      <c r="H319" s="9"/>
      <c r="I319" s="9"/>
    </row>
    <row r="320" spans="1:9" ht="18" customHeight="1" x14ac:dyDescent="0.2">
      <c r="A320" s="9"/>
      <c r="B320" s="9"/>
      <c r="C320" s="9"/>
      <c r="D320" s="9"/>
      <c r="E320" s="10"/>
      <c r="F320" s="9"/>
      <c r="G320" s="9"/>
      <c r="H320" s="9"/>
      <c r="I320" s="9"/>
    </row>
    <row r="321" spans="1:9" ht="18" customHeight="1" x14ac:dyDescent="0.2">
      <c r="A321" s="9"/>
      <c r="B321" s="9"/>
      <c r="C321" s="9"/>
      <c r="D321" s="9"/>
      <c r="E321" s="10"/>
      <c r="F321" s="9"/>
      <c r="G321" s="9"/>
      <c r="H321" s="9"/>
      <c r="I321" s="9"/>
    </row>
    <row r="322" spans="1:9" ht="18" customHeight="1" x14ac:dyDescent="0.2">
      <c r="A322" s="9"/>
      <c r="B322" s="9"/>
      <c r="C322" s="9"/>
      <c r="D322" s="9"/>
      <c r="E322" s="10"/>
      <c r="F322" s="9"/>
      <c r="G322" s="9"/>
      <c r="H322" s="9"/>
      <c r="I322" s="9"/>
    </row>
    <row r="323" spans="1:9" ht="18" customHeight="1" x14ac:dyDescent="0.2">
      <c r="A323" s="9"/>
      <c r="B323" s="9"/>
      <c r="C323" s="9"/>
      <c r="D323" s="9"/>
      <c r="E323" s="10"/>
      <c r="F323" s="9"/>
      <c r="G323" s="9"/>
      <c r="H323" s="9"/>
      <c r="I323" s="9"/>
    </row>
    <row r="324" spans="1:9" ht="18" customHeight="1" x14ac:dyDescent="0.2">
      <c r="A324" s="9"/>
      <c r="B324" s="9"/>
      <c r="C324" s="9"/>
      <c r="D324" s="9"/>
      <c r="E324" s="10"/>
      <c r="F324" s="9"/>
      <c r="G324" s="9"/>
      <c r="H324" s="9"/>
      <c r="I324" s="9"/>
    </row>
    <row r="325" spans="1:9" ht="18" customHeight="1" x14ac:dyDescent="0.2">
      <c r="A325" s="9"/>
      <c r="B325" s="9"/>
      <c r="C325" s="9"/>
      <c r="D325" s="9"/>
      <c r="E325" s="10"/>
      <c r="F325" s="9"/>
      <c r="G325" s="9"/>
      <c r="H325" s="9"/>
      <c r="I325" s="9"/>
    </row>
    <row r="326" spans="1:9" ht="18" customHeight="1" x14ac:dyDescent="0.2">
      <c r="A326" s="9"/>
      <c r="B326" s="9"/>
      <c r="C326" s="9"/>
      <c r="D326" s="9"/>
      <c r="E326" s="10"/>
      <c r="F326" s="9"/>
      <c r="G326" s="9"/>
      <c r="H326" s="9"/>
      <c r="I326" s="9"/>
    </row>
    <row r="327" spans="1:9" ht="18" customHeight="1" x14ac:dyDescent="0.2">
      <c r="A327" s="9"/>
      <c r="B327" s="9"/>
      <c r="C327" s="9"/>
      <c r="D327" s="9"/>
      <c r="E327" s="10"/>
      <c r="F327" s="9"/>
      <c r="G327" s="9"/>
      <c r="H327" s="9"/>
      <c r="I327" s="9"/>
    </row>
    <row r="328" spans="1:9" ht="18" customHeight="1" x14ac:dyDescent="0.2">
      <c r="A328" s="9"/>
      <c r="B328" s="9"/>
      <c r="C328" s="9"/>
      <c r="D328" s="9"/>
      <c r="E328" s="10"/>
      <c r="F328" s="9"/>
      <c r="G328" s="9"/>
      <c r="H328" s="9"/>
      <c r="I328" s="9"/>
    </row>
    <row r="329" spans="1:9" ht="18" customHeight="1" x14ac:dyDescent="0.2">
      <c r="A329" s="9"/>
      <c r="B329" s="9"/>
      <c r="C329" s="9"/>
      <c r="D329" s="9"/>
      <c r="E329" s="10"/>
      <c r="F329" s="9"/>
      <c r="G329" s="9"/>
      <c r="H329" s="9"/>
      <c r="I329" s="9"/>
    </row>
    <row r="330" spans="1:9" ht="18" customHeight="1" x14ac:dyDescent="0.2">
      <c r="A330" s="9"/>
      <c r="B330" s="9"/>
      <c r="C330" s="9"/>
      <c r="D330" s="9"/>
      <c r="E330" s="10"/>
      <c r="F330" s="9"/>
      <c r="G330" s="9"/>
      <c r="H330" s="9"/>
      <c r="I330" s="9"/>
    </row>
    <row r="331" spans="1:9" ht="18" customHeight="1" x14ac:dyDescent="0.2">
      <c r="A331" s="9"/>
      <c r="B331" s="9"/>
      <c r="C331" s="9"/>
      <c r="D331" s="9"/>
      <c r="E331" s="10"/>
      <c r="F331" s="9"/>
      <c r="G331" s="9"/>
      <c r="H331" s="9"/>
      <c r="I331" s="9"/>
    </row>
    <row r="332" spans="1:9" ht="18" customHeight="1" x14ac:dyDescent="0.2">
      <c r="A332" s="9"/>
      <c r="B332" s="9"/>
      <c r="C332" s="9"/>
      <c r="D332" s="9"/>
      <c r="E332" s="10"/>
      <c r="F332" s="9"/>
      <c r="G332" s="9"/>
      <c r="H332" s="9"/>
      <c r="I332" s="9"/>
    </row>
    <row r="333" spans="1:9" ht="18" customHeight="1" x14ac:dyDescent="0.2">
      <c r="A333" s="9"/>
      <c r="B333" s="9"/>
      <c r="C333" s="9"/>
      <c r="D333" s="9"/>
      <c r="E333" s="10"/>
      <c r="F333" s="9"/>
      <c r="G333" s="9"/>
      <c r="H333" s="9"/>
      <c r="I333" s="9"/>
    </row>
    <row r="334" spans="1:9" ht="18" customHeight="1" x14ac:dyDescent="0.2">
      <c r="A334" s="9"/>
      <c r="B334" s="9"/>
      <c r="C334" s="9"/>
      <c r="D334" s="9"/>
      <c r="E334" s="10"/>
      <c r="F334" s="9"/>
      <c r="G334" s="9"/>
      <c r="H334" s="9"/>
      <c r="I334" s="9"/>
    </row>
    <row r="335" spans="1:9" ht="18" customHeight="1" x14ac:dyDescent="0.2">
      <c r="A335" s="9"/>
      <c r="B335" s="9"/>
      <c r="C335" s="9"/>
      <c r="D335" s="9"/>
      <c r="E335" s="10"/>
      <c r="F335" s="9"/>
      <c r="G335" s="9"/>
      <c r="H335" s="9"/>
      <c r="I335" s="9"/>
    </row>
    <row r="336" spans="1:9" ht="18" customHeight="1" x14ac:dyDescent="0.2">
      <c r="A336" s="9"/>
      <c r="B336" s="9"/>
      <c r="C336" s="9"/>
      <c r="D336" s="9"/>
      <c r="E336" s="10"/>
      <c r="F336" s="9"/>
      <c r="G336" s="9"/>
      <c r="H336" s="9"/>
      <c r="I336" s="9"/>
    </row>
    <row r="337" spans="1:9" ht="18" customHeight="1" x14ac:dyDescent="0.2">
      <c r="A337" s="9"/>
      <c r="B337" s="9"/>
      <c r="C337" s="9"/>
      <c r="D337" s="9"/>
      <c r="E337" s="10"/>
      <c r="F337" s="9"/>
      <c r="G337" s="9"/>
      <c r="H337" s="9"/>
      <c r="I337" s="9"/>
    </row>
    <row r="338" spans="1:9" ht="18" customHeight="1" x14ac:dyDescent="0.2">
      <c r="A338" s="9"/>
      <c r="B338" s="9"/>
      <c r="C338" s="9"/>
      <c r="D338" s="9"/>
      <c r="E338" s="10"/>
      <c r="F338" s="9"/>
      <c r="G338" s="9"/>
      <c r="H338" s="9"/>
      <c r="I338" s="9"/>
    </row>
    <row r="339" spans="1:9" ht="18" customHeight="1" x14ac:dyDescent="0.2">
      <c r="A339" s="9"/>
      <c r="B339" s="9"/>
      <c r="C339" s="9"/>
      <c r="D339" s="9"/>
      <c r="E339" s="10"/>
      <c r="F339" s="9"/>
      <c r="G339" s="9"/>
      <c r="H339" s="9"/>
      <c r="I339" s="9"/>
    </row>
    <row r="340" spans="1:9" ht="18" customHeight="1" x14ac:dyDescent="0.2">
      <c r="A340" s="9"/>
      <c r="B340" s="9"/>
      <c r="C340" s="9"/>
      <c r="D340" s="9"/>
      <c r="E340" s="10"/>
      <c r="F340" s="9"/>
      <c r="G340" s="9"/>
      <c r="H340" s="9"/>
      <c r="I340" s="9"/>
    </row>
    <row r="341" spans="1:9" ht="18" customHeight="1" x14ac:dyDescent="0.2">
      <c r="A341" s="9"/>
      <c r="B341" s="9"/>
      <c r="C341" s="9"/>
      <c r="D341" s="9"/>
      <c r="E341" s="10"/>
      <c r="F341" s="9"/>
      <c r="G341" s="9"/>
      <c r="H341" s="9"/>
      <c r="I341" s="9"/>
    </row>
    <row r="342" spans="1:9" ht="18" customHeight="1" x14ac:dyDescent="0.2">
      <c r="A342" s="9"/>
      <c r="B342" s="9"/>
      <c r="C342" s="9"/>
      <c r="D342" s="9"/>
      <c r="E342" s="10"/>
      <c r="F342" s="9"/>
      <c r="G342" s="9"/>
      <c r="H342" s="9"/>
      <c r="I342" s="9"/>
    </row>
    <row r="343" spans="1:9" ht="18" customHeight="1" x14ac:dyDescent="0.2">
      <c r="A343" s="9"/>
      <c r="B343" s="9"/>
      <c r="C343" s="9"/>
      <c r="D343" s="9"/>
      <c r="E343" s="10"/>
      <c r="F343" s="9"/>
      <c r="G343" s="9"/>
      <c r="H343" s="9"/>
      <c r="I343" s="9"/>
    </row>
    <row r="344" spans="1:9" ht="18" customHeight="1" x14ac:dyDescent="0.2">
      <c r="A344" s="9"/>
      <c r="B344" s="9"/>
      <c r="C344" s="9"/>
      <c r="D344" s="9"/>
      <c r="E344" s="10"/>
      <c r="F344" s="9"/>
      <c r="G344" s="9"/>
      <c r="H344" s="9"/>
      <c r="I344" s="9"/>
    </row>
    <row r="345" spans="1:9" ht="18" customHeight="1" x14ac:dyDescent="0.2">
      <c r="A345" s="9"/>
      <c r="B345" s="9"/>
      <c r="C345" s="9"/>
      <c r="D345" s="9"/>
      <c r="E345" s="10"/>
      <c r="F345" s="9"/>
      <c r="G345" s="9"/>
      <c r="H345" s="9"/>
      <c r="I345" s="9"/>
    </row>
    <row r="346" spans="1:9" ht="18" customHeight="1" x14ac:dyDescent="0.2">
      <c r="A346" s="9"/>
      <c r="B346" s="9"/>
      <c r="C346" s="9"/>
      <c r="D346" s="9"/>
      <c r="E346" s="10"/>
      <c r="F346" s="9"/>
      <c r="G346" s="9"/>
      <c r="H346" s="9"/>
      <c r="I346" s="9"/>
    </row>
    <row r="347" spans="1:9" ht="18" customHeight="1" x14ac:dyDescent="0.2">
      <c r="A347" s="9"/>
      <c r="B347" s="9"/>
      <c r="C347" s="9"/>
      <c r="D347" s="9"/>
      <c r="E347" s="10"/>
      <c r="F347" s="9"/>
      <c r="G347" s="9"/>
      <c r="H347" s="9"/>
      <c r="I347" s="9"/>
    </row>
    <row r="348" spans="1:9" ht="18" customHeight="1" x14ac:dyDescent="0.2">
      <c r="A348" s="9"/>
      <c r="B348" s="9"/>
      <c r="C348" s="9"/>
      <c r="D348" s="9"/>
      <c r="E348" s="10"/>
      <c r="F348" s="9"/>
      <c r="G348" s="9"/>
      <c r="H348" s="9"/>
      <c r="I348" s="9"/>
    </row>
    <row r="349" spans="1:9" ht="18" customHeight="1" x14ac:dyDescent="0.2">
      <c r="A349" s="9"/>
      <c r="B349" s="9"/>
      <c r="C349" s="9"/>
      <c r="D349" s="9"/>
      <c r="E349" s="10"/>
      <c r="F349" s="9"/>
      <c r="G349" s="9"/>
      <c r="H349" s="9"/>
      <c r="I349" s="9"/>
    </row>
    <row r="350" spans="1:9" ht="18" customHeight="1" x14ac:dyDescent="0.2">
      <c r="A350" s="9"/>
      <c r="B350" s="9"/>
      <c r="C350" s="9"/>
      <c r="D350" s="9"/>
      <c r="E350" s="10"/>
      <c r="F350" s="9"/>
      <c r="G350" s="9"/>
      <c r="H350" s="9"/>
      <c r="I350" s="9"/>
    </row>
    <row r="351" spans="1:9" ht="18" customHeight="1" x14ac:dyDescent="0.2">
      <c r="A351" s="9"/>
      <c r="B351" s="9"/>
      <c r="C351" s="9"/>
      <c r="D351" s="9"/>
      <c r="E351" s="10"/>
      <c r="F351" s="9"/>
      <c r="G351" s="9"/>
      <c r="H351" s="9"/>
      <c r="I351" s="9"/>
    </row>
    <row r="352" spans="1:9" ht="18" customHeight="1" x14ac:dyDescent="0.2">
      <c r="A352" s="9"/>
      <c r="B352" s="9"/>
      <c r="C352" s="9"/>
      <c r="D352" s="9"/>
      <c r="E352" s="10"/>
      <c r="F352" s="9"/>
      <c r="G352" s="9"/>
      <c r="H352" s="9"/>
      <c r="I352" s="9"/>
    </row>
    <row r="353" spans="1:9" ht="18" customHeight="1" x14ac:dyDescent="0.2">
      <c r="A353" s="9"/>
      <c r="B353" s="9"/>
      <c r="C353" s="9"/>
      <c r="D353" s="9"/>
      <c r="E353" s="10"/>
      <c r="F353" s="9"/>
      <c r="G353" s="9"/>
      <c r="H353" s="9"/>
      <c r="I353" s="9"/>
    </row>
    <row r="354" spans="1:9" ht="18" customHeight="1" x14ac:dyDescent="0.2">
      <c r="A354" s="9"/>
      <c r="B354" s="9"/>
      <c r="C354" s="9"/>
      <c r="D354" s="9"/>
      <c r="E354" s="10"/>
      <c r="F354" s="9"/>
      <c r="G354" s="9"/>
      <c r="H354" s="9"/>
      <c r="I354" s="9"/>
    </row>
    <row r="355" spans="1:9" ht="18" customHeight="1" x14ac:dyDescent="0.2">
      <c r="A355" s="9"/>
      <c r="B355" s="9"/>
      <c r="C355" s="9"/>
      <c r="D355" s="9"/>
      <c r="E355" s="10"/>
      <c r="F355" s="9"/>
      <c r="G355" s="9"/>
      <c r="H355" s="9"/>
      <c r="I355" s="9"/>
    </row>
    <row r="356" spans="1:9" ht="18" customHeight="1" x14ac:dyDescent="0.2">
      <c r="A356" s="9"/>
      <c r="B356" s="9"/>
      <c r="C356" s="9"/>
      <c r="D356" s="9"/>
      <c r="E356" s="10"/>
      <c r="F356" s="9"/>
      <c r="G356" s="9"/>
      <c r="H356" s="9"/>
      <c r="I356" s="9"/>
    </row>
    <row r="357" spans="1:9" ht="18" customHeight="1" x14ac:dyDescent="0.2">
      <c r="A357" s="9"/>
      <c r="B357" s="9"/>
      <c r="C357" s="9"/>
      <c r="D357" s="9"/>
      <c r="E357" s="10"/>
      <c r="F357" s="9"/>
      <c r="G357" s="9"/>
      <c r="H357" s="9"/>
      <c r="I357" s="9"/>
    </row>
    <row r="358" spans="1:9" ht="18" customHeight="1" x14ac:dyDescent="0.2">
      <c r="A358" s="9"/>
      <c r="B358" s="9"/>
      <c r="C358" s="9"/>
      <c r="D358" s="9"/>
      <c r="E358" s="10"/>
      <c r="F358" s="9"/>
      <c r="G358" s="9"/>
      <c r="H358" s="9"/>
      <c r="I358" s="9"/>
    </row>
    <row r="359" spans="1:9" ht="18" customHeight="1" x14ac:dyDescent="0.2">
      <c r="A359" s="9"/>
      <c r="B359" s="9"/>
      <c r="C359" s="9"/>
      <c r="D359" s="9"/>
      <c r="E359" s="10"/>
      <c r="F359" s="9"/>
      <c r="G359" s="9"/>
      <c r="H359" s="9"/>
      <c r="I359" s="9"/>
    </row>
    <row r="360" spans="1:9" ht="18" customHeight="1" x14ac:dyDescent="0.2">
      <c r="A360" s="9"/>
      <c r="B360" s="9"/>
      <c r="C360" s="9"/>
      <c r="D360" s="9"/>
      <c r="E360" s="10"/>
      <c r="F360" s="9"/>
      <c r="G360" s="9"/>
      <c r="H360" s="9"/>
      <c r="I360" s="9"/>
    </row>
    <row r="361" spans="1:9" ht="18" customHeight="1" x14ac:dyDescent="0.2">
      <c r="A361" s="9"/>
      <c r="B361" s="9"/>
      <c r="C361" s="9"/>
      <c r="D361" s="9"/>
      <c r="E361" s="10"/>
      <c r="F361" s="9"/>
      <c r="G361" s="9"/>
      <c r="H361" s="9"/>
      <c r="I361" s="9"/>
    </row>
    <row r="362" spans="1:9" ht="18" customHeight="1" x14ac:dyDescent="0.2">
      <c r="A362" s="9"/>
      <c r="B362" s="9"/>
      <c r="C362" s="9"/>
      <c r="D362" s="9"/>
      <c r="E362" s="10"/>
      <c r="F362" s="9"/>
      <c r="G362" s="9"/>
      <c r="H362" s="9"/>
      <c r="I362" s="9"/>
    </row>
    <row r="363" spans="1:9" ht="18" customHeight="1" x14ac:dyDescent="0.2">
      <c r="A363" s="9"/>
      <c r="B363" s="9"/>
      <c r="C363" s="9"/>
      <c r="D363" s="9"/>
      <c r="E363" s="10"/>
      <c r="F363" s="9"/>
      <c r="G363" s="9"/>
      <c r="H363" s="9"/>
      <c r="I363" s="9"/>
    </row>
    <row r="364" spans="1:9" ht="18" customHeight="1" x14ac:dyDescent="0.2">
      <c r="A364" s="9"/>
      <c r="B364" s="9"/>
      <c r="C364" s="9"/>
      <c r="D364" s="9"/>
      <c r="E364" s="10"/>
      <c r="F364" s="9"/>
      <c r="G364" s="9"/>
      <c r="H364" s="9"/>
      <c r="I364" s="9"/>
    </row>
    <row r="365" spans="1:9" ht="18" customHeight="1" x14ac:dyDescent="0.2">
      <c r="A365" s="9"/>
      <c r="B365" s="9"/>
      <c r="C365" s="9"/>
      <c r="D365" s="9"/>
      <c r="E365" s="10"/>
      <c r="F365" s="9"/>
      <c r="G365" s="9"/>
      <c r="H365" s="9"/>
      <c r="I365" s="9"/>
    </row>
    <row r="366" spans="1:9" ht="18" customHeight="1" x14ac:dyDescent="0.2">
      <c r="A366" s="9"/>
      <c r="B366" s="9"/>
      <c r="C366" s="9"/>
      <c r="D366" s="9"/>
      <c r="E366" s="10"/>
      <c r="F366" s="9"/>
      <c r="G366" s="9"/>
      <c r="H366" s="9"/>
      <c r="I366" s="9"/>
    </row>
    <row r="367" spans="1:9" ht="18" customHeight="1" x14ac:dyDescent="0.2">
      <c r="A367" s="9"/>
      <c r="B367" s="9"/>
      <c r="C367" s="9"/>
      <c r="D367" s="9"/>
      <c r="E367" s="10"/>
      <c r="F367" s="9"/>
      <c r="G367" s="9"/>
      <c r="H367" s="9"/>
      <c r="I367" s="9"/>
    </row>
    <row r="368" spans="1:9" ht="18" customHeight="1" x14ac:dyDescent="0.2">
      <c r="A368" s="9"/>
      <c r="B368" s="9"/>
      <c r="C368" s="9"/>
      <c r="D368" s="9"/>
      <c r="E368" s="10"/>
      <c r="F368" s="9"/>
      <c r="G368" s="9"/>
      <c r="H368" s="9"/>
      <c r="I368" s="9"/>
    </row>
    <row r="369" spans="1:9" ht="18" customHeight="1" x14ac:dyDescent="0.2">
      <c r="A369" s="9"/>
      <c r="B369" s="9"/>
      <c r="C369" s="9"/>
      <c r="D369" s="9"/>
      <c r="E369" s="10"/>
      <c r="F369" s="9"/>
      <c r="G369" s="9"/>
      <c r="H369" s="9"/>
      <c r="I369" s="9"/>
    </row>
    <row r="370" spans="1:9" ht="18" customHeight="1" x14ac:dyDescent="0.2">
      <c r="A370" s="9"/>
      <c r="B370" s="9"/>
      <c r="C370" s="9"/>
      <c r="D370" s="9"/>
      <c r="E370" s="10"/>
      <c r="F370" s="9"/>
      <c r="G370" s="9"/>
      <c r="H370" s="9"/>
      <c r="I370" s="9"/>
    </row>
    <row r="371" spans="1:9" ht="18" customHeight="1" x14ac:dyDescent="0.2">
      <c r="A371" s="9"/>
      <c r="B371" s="9"/>
      <c r="C371" s="9"/>
      <c r="D371" s="9"/>
      <c r="E371" s="10"/>
      <c r="F371" s="9"/>
      <c r="G371" s="9"/>
      <c r="H371" s="9"/>
      <c r="I371" s="9"/>
    </row>
    <row r="372" spans="1:9" ht="18" customHeight="1" x14ac:dyDescent="0.2">
      <c r="A372" s="9"/>
      <c r="B372" s="9"/>
      <c r="C372" s="9"/>
      <c r="D372" s="9"/>
      <c r="E372" s="10"/>
      <c r="F372" s="9"/>
      <c r="G372" s="9"/>
      <c r="H372" s="9"/>
      <c r="I372" s="9"/>
    </row>
    <row r="373" spans="1:9" ht="18" customHeight="1" x14ac:dyDescent="0.2">
      <c r="A373" s="9"/>
      <c r="B373" s="9"/>
      <c r="C373" s="9"/>
      <c r="D373" s="9"/>
      <c r="E373" s="10"/>
      <c r="F373" s="9"/>
      <c r="G373" s="9"/>
      <c r="H373" s="9"/>
      <c r="I373" s="9"/>
    </row>
    <row r="374" spans="1:9" ht="18" customHeight="1" x14ac:dyDescent="0.2">
      <c r="A374" s="9"/>
      <c r="B374" s="9"/>
      <c r="C374" s="9"/>
      <c r="D374" s="9"/>
      <c r="E374" s="10"/>
      <c r="F374" s="9"/>
      <c r="G374" s="9"/>
      <c r="H374" s="9"/>
      <c r="I374" s="9"/>
    </row>
    <row r="375" spans="1:9" ht="18" customHeight="1" x14ac:dyDescent="0.2">
      <c r="A375" s="9"/>
      <c r="B375" s="9"/>
      <c r="C375" s="9"/>
      <c r="D375" s="9"/>
      <c r="E375" s="10"/>
      <c r="F375" s="9"/>
      <c r="G375" s="9"/>
      <c r="H375" s="9"/>
      <c r="I375" s="9"/>
    </row>
    <row r="376" spans="1:9" ht="18" customHeight="1" x14ac:dyDescent="0.2">
      <c r="A376" s="9"/>
      <c r="B376" s="9"/>
      <c r="C376" s="9"/>
      <c r="D376" s="9"/>
      <c r="E376" s="10"/>
      <c r="F376" s="9"/>
      <c r="G376" s="9"/>
      <c r="H376" s="9"/>
      <c r="I376" s="9"/>
    </row>
    <row r="377" spans="1:9" ht="18" customHeight="1" x14ac:dyDescent="0.2">
      <c r="A377" s="9"/>
      <c r="B377" s="9"/>
      <c r="C377" s="9"/>
      <c r="D377" s="9"/>
      <c r="E377" s="10"/>
      <c r="F377" s="9"/>
      <c r="G377" s="9"/>
      <c r="H377" s="9"/>
      <c r="I377" s="9"/>
    </row>
    <row r="378" spans="1:9" ht="18" customHeight="1" x14ac:dyDescent="0.2">
      <c r="A378" s="9"/>
      <c r="B378" s="9"/>
      <c r="C378" s="9"/>
      <c r="D378" s="9"/>
      <c r="E378" s="10"/>
      <c r="F378" s="9"/>
      <c r="G378" s="9"/>
      <c r="H378" s="9"/>
      <c r="I378" s="9"/>
    </row>
    <row r="379" spans="1:9" ht="18" customHeight="1" x14ac:dyDescent="0.2">
      <c r="A379" s="9"/>
      <c r="B379" s="9"/>
      <c r="C379" s="9"/>
      <c r="D379" s="9"/>
      <c r="E379" s="10"/>
      <c r="F379" s="9"/>
      <c r="G379" s="9"/>
      <c r="H379" s="9"/>
      <c r="I379" s="9"/>
    </row>
    <row r="380" spans="1:9" ht="18" customHeight="1" x14ac:dyDescent="0.2">
      <c r="A380" s="9"/>
      <c r="B380" s="9"/>
      <c r="C380" s="9"/>
      <c r="D380" s="9"/>
      <c r="E380" s="10"/>
      <c r="F380" s="9"/>
      <c r="G380" s="9"/>
      <c r="H380" s="9"/>
      <c r="I380" s="9"/>
    </row>
    <row r="381" spans="1:9" ht="18" customHeight="1" x14ac:dyDescent="0.2">
      <c r="A381" s="9"/>
      <c r="B381" s="9"/>
      <c r="C381" s="9"/>
      <c r="D381" s="9"/>
      <c r="E381" s="10"/>
      <c r="F381" s="9"/>
      <c r="G381" s="9"/>
      <c r="H381" s="9"/>
      <c r="I381" s="9"/>
    </row>
    <row r="382" spans="1:9" ht="18" customHeight="1" x14ac:dyDescent="0.2">
      <c r="A382" s="9"/>
      <c r="B382" s="9"/>
      <c r="C382" s="9"/>
      <c r="D382" s="9"/>
      <c r="E382" s="10"/>
      <c r="F382" s="9"/>
      <c r="G382" s="9"/>
      <c r="H382" s="9"/>
      <c r="I382" s="9"/>
    </row>
    <row r="383" spans="1:9" ht="18" customHeight="1" x14ac:dyDescent="0.2">
      <c r="A383" s="9"/>
      <c r="B383" s="9"/>
      <c r="C383" s="9"/>
      <c r="D383" s="9"/>
      <c r="E383" s="10"/>
      <c r="F383" s="9"/>
      <c r="G383" s="9"/>
      <c r="H383" s="9"/>
      <c r="I383" s="9"/>
    </row>
    <row r="384" spans="1:9" ht="18" customHeight="1" x14ac:dyDescent="0.2">
      <c r="A384" s="9"/>
      <c r="B384" s="9"/>
      <c r="C384" s="9"/>
      <c r="D384" s="9"/>
      <c r="E384" s="10"/>
      <c r="F384" s="9"/>
      <c r="G384" s="9"/>
      <c r="H384" s="9"/>
      <c r="I384" s="9"/>
    </row>
    <row r="385" spans="1:9" ht="18" customHeight="1" x14ac:dyDescent="0.2">
      <c r="A385" s="9"/>
      <c r="B385" s="9"/>
      <c r="C385" s="9"/>
      <c r="D385" s="9"/>
      <c r="E385" s="10"/>
      <c r="F385" s="9"/>
      <c r="G385" s="9"/>
      <c r="H385" s="9"/>
      <c r="I385" s="9"/>
    </row>
    <row r="386" spans="1:9" ht="18" customHeight="1" x14ac:dyDescent="0.2">
      <c r="A386" s="9"/>
      <c r="B386" s="9"/>
      <c r="C386" s="9"/>
      <c r="D386" s="9"/>
      <c r="E386" s="10"/>
      <c r="F386" s="9"/>
      <c r="G386" s="9"/>
      <c r="H386" s="9"/>
      <c r="I386" s="9"/>
    </row>
    <row r="387" spans="1:9" ht="18" customHeight="1" x14ac:dyDescent="0.2">
      <c r="A387" s="9"/>
      <c r="B387" s="9"/>
      <c r="C387" s="9"/>
      <c r="D387" s="9"/>
      <c r="E387" s="10"/>
      <c r="F387" s="9"/>
      <c r="G387" s="9"/>
      <c r="H387" s="9"/>
      <c r="I387" s="9"/>
    </row>
    <row r="388" spans="1:9" ht="18" customHeight="1" x14ac:dyDescent="0.2">
      <c r="A388" s="9"/>
      <c r="B388" s="9"/>
      <c r="C388" s="9"/>
      <c r="D388" s="9"/>
      <c r="E388" s="10"/>
      <c r="F388" s="9"/>
      <c r="G388" s="9"/>
      <c r="H388" s="9"/>
      <c r="I388" s="9"/>
    </row>
    <row r="389" spans="1:9" ht="18" customHeight="1" x14ac:dyDescent="0.2">
      <c r="A389" s="9"/>
      <c r="B389" s="9"/>
      <c r="C389" s="9"/>
      <c r="D389" s="9"/>
      <c r="E389" s="10"/>
      <c r="F389" s="9"/>
      <c r="G389" s="9"/>
      <c r="H389" s="9"/>
      <c r="I389" s="9"/>
    </row>
    <row r="390" spans="1:9" ht="18" customHeight="1" x14ac:dyDescent="0.2">
      <c r="A390" s="9"/>
      <c r="B390" s="9"/>
      <c r="C390" s="9"/>
      <c r="D390" s="9"/>
      <c r="E390" s="10"/>
      <c r="F390" s="9"/>
      <c r="G390" s="9"/>
      <c r="H390" s="9"/>
      <c r="I390" s="9"/>
    </row>
    <row r="391" spans="1:9" ht="18" customHeight="1" x14ac:dyDescent="0.2">
      <c r="A391" s="9"/>
      <c r="B391" s="9"/>
      <c r="C391" s="9"/>
      <c r="D391" s="9"/>
      <c r="E391" s="10"/>
      <c r="F391" s="9"/>
      <c r="G391" s="9"/>
      <c r="H391" s="9"/>
      <c r="I391" s="9"/>
    </row>
    <row r="392" spans="1:9" ht="18" customHeight="1" x14ac:dyDescent="0.2">
      <c r="A392" s="9"/>
      <c r="B392" s="9"/>
      <c r="C392" s="9"/>
      <c r="D392" s="9"/>
      <c r="E392" s="10"/>
      <c r="F392" s="9"/>
      <c r="G392" s="9"/>
      <c r="H392" s="9"/>
      <c r="I392" s="9"/>
    </row>
    <row r="393" spans="1:9" ht="18" customHeight="1" x14ac:dyDescent="0.2">
      <c r="A393" s="9"/>
      <c r="B393" s="9"/>
      <c r="C393" s="9"/>
      <c r="D393" s="9"/>
      <c r="E393" s="10"/>
      <c r="F393" s="9"/>
      <c r="G393" s="9"/>
      <c r="H393" s="9"/>
      <c r="I393" s="9"/>
    </row>
    <row r="394" spans="1:9" ht="18" customHeight="1" x14ac:dyDescent="0.2">
      <c r="A394" s="9"/>
      <c r="B394" s="9"/>
      <c r="C394" s="9"/>
      <c r="D394" s="9"/>
      <c r="E394" s="10"/>
      <c r="F394" s="9"/>
      <c r="G394" s="9"/>
      <c r="H394" s="9"/>
      <c r="I394" s="9"/>
    </row>
    <row r="395" spans="1:9" ht="18" customHeight="1" x14ac:dyDescent="0.2">
      <c r="A395" s="9"/>
      <c r="B395" s="9"/>
      <c r="C395" s="9"/>
      <c r="D395" s="9"/>
      <c r="E395" s="10"/>
      <c r="F395" s="9"/>
      <c r="G395" s="9"/>
      <c r="H395" s="9"/>
      <c r="I395" s="9"/>
    </row>
    <row r="396" spans="1:9" ht="18" customHeight="1" x14ac:dyDescent="0.2">
      <c r="A396" s="9"/>
      <c r="B396" s="9"/>
      <c r="C396" s="9"/>
      <c r="D396" s="9"/>
      <c r="E396" s="10"/>
      <c r="F396" s="9"/>
      <c r="G396" s="9"/>
      <c r="H396" s="9"/>
      <c r="I396" s="9"/>
    </row>
    <row r="397" spans="1:9" ht="18" customHeight="1" x14ac:dyDescent="0.2">
      <c r="A397" s="9"/>
      <c r="B397" s="9"/>
      <c r="C397" s="9"/>
      <c r="D397" s="9"/>
      <c r="E397" s="10"/>
      <c r="F397" s="9"/>
      <c r="G397" s="9"/>
      <c r="H397" s="9"/>
      <c r="I397" s="9"/>
    </row>
    <row r="398" spans="1:9" ht="18" customHeight="1" x14ac:dyDescent="0.2">
      <c r="A398" s="9"/>
      <c r="B398" s="9"/>
      <c r="C398" s="9"/>
      <c r="D398" s="9"/>
      <c r="E398" s="10"/>
      <c r="F398" s="9"/>
      <c r="G398" s="9"/>
      <c r="H398" s="9"/>
      <c r="I398" s="9"/>
    </row>
    <row r="399" spans="1:9" ht="18" customHeight="1" x14ac:dyDescent="0.2">
      <c r="A399" s="9"/>
      <c r="B399" s="9"/>
      <c r="C399" s="9"/>
      <c r="D399" s="9"/>
      <c r="E399" s="10"/>
      <c r="F399" s="9"/>
      <c r="G399" s="9"/>
      <c r="H399" s="9"/>
      <c r="I399" s="9"/>
    </row>
    <row r="400" spans="1:9" ht="18" customHeight="1" x14ac:dyDescent="0.2">
      <c r="A400" s="9"/>
      <c r="B400" s="9"/>
      <c r="C400" s="9"/>
      <c r="D400" s="9"/>
      <c r="E400" s="10"/>
      <c r="F400" s="9"/>
      <c r="G400" s="9"/>
      <c r="H400" s="9"/>
      <c r="I400" s="9"/>
    </row>
    <row r="401" spans="1:9" ht="18" customHeight="1" x14ac:dyDescent="0.2">
      <c r="A401" s="9"/>
      <c r="B401" s="9"/>
      <c r="C401" s="9"/>
      <c r="D401" s="9"/>
      <c r="E401" s="10"/>
      <c r="F401" s="9"/>
      <c r="G401" s="9"/>
      <c r="H401" s="9"/>
      <c r="I401" s="9"/>
    </row>
    <row r="402" spans="1:9" ht="18" customHeight="1" x14ac:dyDescent="0.2">
      <c r="A402" s="9"/>
      <c r="B402" s="9"/>
      <c r="C402" s="9"/>
      <c r="D402" s="9"/>
      <c r="E402" s="10"/>
      <c r="F402" s="9"/>
      <c r="G402" s="9"/>
      <c r="H402" s="9"/>
      <c r="I402" s="9"/>
    </row>
    <row r="403" spans="1:9" ht="18" customHeight="1" x14ac:dyDescent="0.2">
      <c r="A403" s="9"/>
      <c r="B403" s="9"/>
      <c r="C403" s="9"/>
      <c r="D403" s="9"/>
      <c r="E403" s="10"/>
      <c r="F403" s="9"/>
      <c r="G403" s="9"/>
      <c r="H403" s="9"/>
      <c r="I403" s="9"/>
    </row>
    <row r="404" spans="1:9" ht="18" customHeight="1" x14ac:dyDescent="0.2">
      <c r="A404" s="9"/>
      <c r="B404" s="9"/>
      <c r="C404" s="9"/>
      <c r="D404" s="9"/>
      <c r="E404" s="10"/>
      <c r="F404" s="9"/>
      <c r="G404" s="9"/>
      <c r="H404" s="9"/>
      <c r="I404" s="9"/>
    </row>
    <row r="405" spans="1:9" ht="18" customHeight="1" x14ac:dyDescent="0.2">
      <c r="A405" s="9"/>
      <c r="B405" s="9"/>
      <c r="C405" s="9"/>
      <c r="D405" s="9"/>
      <c r="E405" s="10"/>
      <c r="F405" s="9"/>
      <c r="G405" s="9"/>
      <c r="H405" s="9"/>
      <c r="I405" s="9"/>
    </row>
    <row r="406" spans="1:9" ht="18" customHeight="1" x14ac:dyDescent="0.2">
      <c r="A406" s="9"/>
      <c r="B406" s="9"/>
      <c r="C406" s="9"/>
      <c r="D406" s="9"/>
      <c r="E406" s="10"/>
      <c r="F406" s="9"/>
      <c r="G406" s="9"/>
      <c r="H406" s="9"/>
      <c r="I406" s="9"/>
    </row>
    <row r="407" spans="1:9" ht="18" customHeight="1" x14ac:dyDescent="0.2">
      <c r="A407" s="9"/>
      <c r="B407" s="9"/>
      <c r="C407" s="9"/>
      <c r="D407" s="9"/>
      <c r="E407" s="10"/>
      <c r="F407" s="9"/>
      <c r="G407" s="9"/>
      <c r="H407" s="9"/>
      <c r="I407" s="9"/>
    </row>
    <row r="408" spans="1:9" ht="18" customHeight="1" x14ac:dyDescent="0.2">
      <c r="A408" s="9"/>
      <c r="B408" s="9"/>
      <c r="C408" s="9"/>
      <c r="D408" s="9"/>
      <c r="E408" s="10"/>
      <c r="F408" s="9"/>
      <c r="G408" s="9"/>
      <c r="H408" s="9"/>
      <c r="I408" s="9"/>
    </row>
    <row r="409" spans="1:9" ht="18" customHeight="1" x14ac:dyDescent="0.2">
      <c r="A409" s="9"/>
      <c r="B409" s="9"/>
      <c r="C409" s="9"/>
      <c r="D409" s="9"/>
      <c r="E409" s="10"/>
      <c r="F409" s="9"/>
      <c r="G409" s="9"/>
      <c r="H409" s="9"/>
      <c r="I409" s="9"/>
    </row>
    <row r="410" spans="1:9" ht="18" customHeight="1" x14ac:dyDescent="0.2">
      <c r="A410" s="9"/>
      <c r="B410" s="9"/>
      <c r="C410" s="9"/>
      <c r="D410" s="9"/>
      <c r="E410" s="10"/>
      <c r="F410" s="9"/>
      <c r="G410" s="9"/>
      <c r="H410" s="9"/>
      <c r="I410" s="9"/>
    </row>
    <row r="411" spans="1:9" ht="18" customHeight="1" x14ac:dyDescent="0.2">
      <c r="A411" s="9"/>
      <c r="B411" s="9"/>
      <c r="C411" s="9"/>
      <c r="D411" s="9"/>
      <c r="E411" s="10"/>
      <c r="F411" s="9"/>
      <c r="G411" s="9"/>
      <c r="H411" s="9"/>
      <c r="I411" s="9"/>
    </row>
    <row r="412" spans="1:9" ht="18" customHeight="1" x14ac:dyDescent="0.2">
      <c r="A412" s="9"/>
      <c r="B412" s="9"/>
      <c r="C412" s="9"/>
      <c r="D412" s="9"/>
      <c r="E412" s="10"/>
      <c r="F412" s="9"/>
      <c r="G412" s="9"/>
      <c r="H412" s="9"/>
      <c r="I412" s="9"/>
    </row>
    <row r="413" spans="1:9" ht="18" customHeight="1" x14ac:dyDescent="0.2">
      <c r="A413" s="9"/>
      <c r="B413" s="9"/>
      <c r="C413" s="9"/>
      <c r="D413" s="9"/>
      <c r="E413" s="10"/>
      <c r="F413" s="9"/>
      <c r="G413" s="9"/>
      <c r="H413" s="9"/>
      <c r="I413" s="9"/>
    </row>
    <row r="414" spans="1:9" ht="18" customHeight="1" x14ac:dyDescent="0.2">
      <c r="A414" s="9"/>
      <c r="B414" s="9"/>
      <c r="C414" s="9"/>
      <c r="D414" s="9"/>
      <c r="E414" s="10"/>
      <c r="F414" s="9"/>
      <c r="G414" s="9"/>
      <c r="H414" s="9"/>
      <c r="I414" s="9"/>
    </row>
    <row r="415" spans="1:9" ht="18" customHeight="1" x14ac:dyDescent="0.2">
      <c r="A415" s="9"/>
      <c r="B415" s="9"/>
      <c r="C415" s="9"/>
      <c r="D415" s="9"/>
      <c r="E415" s="10"/>
      <c r="F415" s="9"/>
      <c r="G415" s="9"/>
      <c r="H415" s="9"/>
      <c r="I415" s="9"/>
    </row>
    <row r="416" spans="1:9" ht="18" customHeight="1" x14ac:dyDescent="0.2">
      <c r="A416" s="9"/>
      <c r="B416" s="9"/>
      <c r="C416" s="9"/>
      <c r="D416" s="9"/>
      <c r="E416" s="10"/>
      <c r="F416" s="9"/>
      <c r="G416" s="9"/>
      <c r="H416" s="9"/>
      <c r="I416" s="9"/>
    </row>
    <row r="417" spans="1:9" ht="18" customHeight="1" x14ac:dyDescent="0.2">
      <c r="A417" s="9"/>
      <c r="B417" s="9"/>
      <c r="C417" s="9"/>
      <c r="D417" s="9"/>
      <c r="E417" s="10"/>
      <c r="F417" s="9"/>
      <c r="G417" s="9"/>
      <c r="H417" s="9"/>
      <c r="I417" s="9"/>
    </row>
    <row r="418" spans="1:9" ht="18" customHeight="1" x14ac:dyDescent="0.2">
      <c r="A418" s="9"/>
      <c r="B418" s="9"/>
      <c r="C418" s="9"/>
      <c r="D418" s="9"/>
      <c r="E418" s="10"/>
      <c r="F418" s="9"/>
      <c r="G418" s="9"/>
      <c r="H418" s="9"/>
      <c r="I418" s="9"/>
    </row>
    <row r="419" spans="1:9" ht="18" customHeight="1" x14ac:dyDescent="0.2">
      <c r="A419" s="9"/>
      <c r="B419" s="9"/>
      <c r="C419" s="9"/>
      <c r="D419" s="9"/>
      <c r="E419" s="10"/>
      <c r="F419" s="9"/>
      <c r="G419" s="9"/>
      <c r="H419" s="9"/>
      <c r="I419" s="9"/>
    </row>
    <row r="420" spans="1:9" ht="18" customHeight="1" x14ac:dyDescent="0.2">
      <c r="A420" s="9"/>
      <c r="B420" s="9"/>
      <c r="C420" s="9"/>
      <c r="D420" s="9"/>
      <c r="E420" s="10"/>
      <c r="F420" s="9"/>
      <c r="G420" s="9"/>
      <c r="H420" s="9"/>
      <c r="I420" s="9"/>
    </row>
    <row r="421" spans="1:9" ht="18" customHeight="1" x14ac:dyDescent="0.2">
      <c r="A421" s="9"/>
      <c r="B421" s="9"/>
      <c r="C421" s="9"/>
      <c r="D421" s="9"/>
      <c r="E421" s="10"/>
      <c r="F421" s="9"/>
      <c r="G421" s="9"/>
      <c r="H421" s="9"/>
      <c r="I421" s="9"/>
    </row>
    <row r="422" spans="1:9" ht="18" customHeight="1" x14ac:dyDescent="0.2">
      <c r="A422" s="9"/>
      <c r="B422" s="9"/>
      <c r="C422" s="9"/>
      <c r="D422" s="9"/>
      <c r="E422" s="10"/>
      <c r="F422" s="9"/>
      <c r="G422" s="9"/>
      <c r="H422" s="9"/>
      <c r="I422" s="9"/>
    </row>
    <row r="423" spans="1:9" ht="18" customHeight="1" x14ac:dyDescent="0.2">
      <c r="A423" s="9"/>
      <c r="B423" s="9"/>
      <c r="C423" s="9"/>
      <c r="D423" s="9"/>
      <c r="E423" s="10"/>
      <c r="F423" s="9"/>
      <c r="G423" s="9"/>
      <c r="H423" s="9"/>
      <c r="I423" s="9"/>
    </row>
    <row r="424" spans="1:9" ht="18" customHeight="1" x14ac:dyDescent="0.2">
      <c r="A424" s="9"/>
      <c r="B424" s="9"/>
      <c r="C424" s="9"/>
      <c r="D424" s="9"/>
      <c r="E424" s="10"/>
      <c r="F424" s="9"/>
      <c r="G424" s="9"/>
      <c r="H424" s="9"/>
      <c r="I424" s="9"/>
    </row>
    <row r="425" spans="1:9" ht="18" customHeight="1" x14ac:dyDescent="0.2">
      <c r="A425" s="9"/>
      <c r="B425" s="9"/>
      <c r="C425" s="9"/>
      <c r="D425" s="9"/>
      <c r="E425" s="10"/>
      <c r="F425" s="9"/>
      <c r="G425" s="9"/>
      <c r="H425" s="9"/>
      <c r="I425" s="9"/>
    </row>
    <row r="426" spans="1:9" ht="18" customHeight="1" x14ac:dyDescent="0.2">
      <c r="A426" s="9"/>
      <c r="B426" s="9"/>
      <c r="C426" s="9"/>
      <c r="D426" s="9"/>
      <c r="E426" s="10"/>
      <c r="F426" s="9"/>
      <c r="G426" s="9"/>
      <c r="H426" s="9"/>
      <c r="I426" s="9"/>
    </row>
    <row r="427" spans="1:9" ht="18" customHeight="1" x14ac:dyDescent="0.2">
      <c r="A427" s="9"/>
      <c r="B427" s="9"/>
      <c r="C427" s="9"/>
      <c r="D427" s="9"/>
      <c r="E427" s="10"/>
      <c r="F427" s="9"/>
      <c r="G427" s="9"/>
      <c r="H427" s="9"/>
      <c r="I427" s="9"/>
    </row>
    <row r="428" spans="1:9" ht="18" customHeight="1" x14ac:dyDescent="0.2">
      <c r="A428" s="9"/>
      <c r="B428" s="9"/>
      <c r="C428" s="9"/>
      <c r="D428" s="9"/>
      <c r="E428" s="10"/>
      <c r="F428" s="9"/>
      <c r="G428" s="9"/>
      <c r="H428" s="9"/>
      <c r="I428" s="9"/>
    </row>
    <row r="429" spans="1:9" ht="18" customHeight="1" x14ac:dyDescent="0.2">
      <c r="A429" s="9"/>
      <c r="B429" s="9"/>
      <c r="C429" s="9"/>
      <c r="D429" s="9"/>
      <c r="E429" s="10"/>
      <c r="F429" s="9"/>
      <c r="G429" s="9"/>
      <c r="H429" s="9"/>
      <c r="I429" s="9"/>
    </row>
    <row r="430" spans="1:9" ht="18" customHeight="1" x14ac:dyDescent="0.2">
      <c r="A430" s="9"/>
      <c r="B430" s="9"/>
      <c r="C430" s="9"/>
      <c r="D430" s="9"/>
      <c r="E430" s="10"/>
      <c r="F430" s="9"/>
      <c r="G430" s="9"/>
      <c r="H430" s="9"/>
      <c r="I430" s="9"/>
    </row>
    <row r="431" spans="1:9" ht="18" customHeight="1" x14ac:dyDescent="0.2">
      <c r="A431" s="9"/>
      <c r="B431" s="9"/>
      <c r="C431" s="9"/>
      <c r="D431" s="9"/>
      <c r="E431" s="10"/>
      <c r="F431" s="9"/>
      <c r="G431" s="9"/>
      <c r="H431" s="9"/>
      <c r="I431" s="9"/>
    </row>
    <row r="432" spans="1:9" ht="18" customHeight="1" x14ac:dyDescent="0.2">
      <c r="A432" s="9"/>
      <c r="B432" s="9"/>
      <c r="C432" s="9"/>
      <c r="D432" s="9"/>
      <c r="E432" s="10"/>
      <c r="F432" s="9"/>
      <c r="G432" s="9"/>
      <c r="H432" s="9"/>
      <c r="I432" s="9"/>
    </row>
    <row r="433" spans="1:9" ht="18" customHeight="1" x14ac:dyDescent="0.2">
      <c r="A433" s="9"/>
      <c r="B433" s="9"/>
      <c r="C433" s="9"/>
      <c r="D433" s="9"/>
      <c r="E433" s="10"/>
      <c r="F433" s="9"/>
      <c r="G433" s="9"/>
      <c r="H433" s="9"/>
      <c r="I433" s="9"/>
    </row>
    <row r="434" spans="1:9" ht="18" customHeight="1" x14ac:dyDescent="0.2">
      <c r="A434" s="9"/>
      <c r="B434" s="9"/>
      <c r="C434" s="9"/>
      <c r="D434" s="9"/>
      <c r="E434" s="10"/>
      <c r="F434" s="9"/>
      <c r="G434" s="9"/>
      <c r="H434" s="9"/>
      <c r="I434" s="9"/>
    </row>
    <row r="435" spans="1:9" ht="18" customHeight="1" x14ac:dyDescent="0.2">
      <c r="A435" s="9"/>
      <c r="B435" s="9"/>
      <c r="C435" s="9"/>
      <c r="D435" s="9"/>
      <c r="E435" s="10"/>
      <c r="F435" s="9"/>
      <c r="G435" s="9"/>
      <c r="H435" s="9"/>
      <c r="I435" s="9"/>
    </row>
    <row r="436" spans="1:9" ht="18" customHeight="1" x14ac:dyDescent="0.2">
      <c r="A436" s="9"/>
      <c r="B436" s="9"/>
      <c r="C436" s="9"/>
      <c r="D436" s="9"/>
      <c r="E436" s="10"/>
      <c r="F436" s="9"/>
      <c r="G436" s="9"/>
      <c r="H436" s="9"/>
      <c r="I436" s="9"/>
    </row>
    <row r="437" spans="1:9" ht="18" customHeight="1" x14ac:dyDescent="0.2">
      <c r="A437" s="9"/>
      <c r="B437" s="9"/>
      <c r="C437" s="9"/>
      <c r="D437" s="9"/>
      <c r="E437" s="10"/>
      <c r="F437" s="9"/>
      <c r="G437" s="9"/>
      <c r="H437" s="9"/>
      <c r="I437" s="9"/>
    </row>
    <row r="438" spans="1:9" ht="18" customHeight="1" x14ac:dyDescent="0.2">
      <c r="A438" s="9"/>
      <c r="B438" s="9"/>
      <c r="C438" s="9"/>
      <c r="D438" s="9"/>
      <c r="E438" s="10"/>
      <c r="F438" s="9"/>
      <c r="G438" s="9"/>
      <c r="H438" s="9"/>
      <c r="I438" s="9"/>
    </row>
    <row r="439" spans="1:9" ht="18" customHeight="1" x14ac:dyDescent="0.2">
      <c r="A439" s="9"/>
      <c r="B439" s="9"/>
      <c r="C439" s="9"/>
      <c r="D439" s="9"/>
      <c r="E439" s="10"/>
      <c r="F439" s="9"/>
      <c r="G439" s="9"/>
      <c r="H439" s="9"/>
      <c r="I439" s="9"/>
    </row>
    <row r="440" spans="1:9" ht="18" customHeight="1" x14ac:dyDescent="0.2">
      <c r="A440" s="9"/>
      <c r="B440" s="9"/>
      <c r="C440" s="9"/>
      <c r="D440" s="9"/>
      <c r="E440" s="10"/>
      <c r="F440" s="9"/>
      <c r="G440" s="9"/>
      <c r="H440" s="9"/>
      <c r="I440" s="9"/>
    </row>
    <row r="441" spans="1:9" ht="18" customHeight="1" x14ac:dyDescent="0.2">
      <c r="A441" s="9"/>
      <c r="B441" s="9"/>
      <c r="C441" s="9"/>
      <c r="D441" s="9"/>
      <c r="E441" s="10"/>
      <c r="F441" s="9"/>
      <c r="G441" s="9"/>
      <c r="H441" s="9"/>
      <c r="I441" s="9"/>
    </row>
    <row r="442" spans="1:9" ht="18" customHeight="1" x14ac:dyDescent="0.2">
      <c r="A442" s="9"/>
      <c r="B442" s="9"/>
      <c r="C442" s="9"/>
      <c r="D442" s="9"/>
      <c r="E442" s="10"/>
      <c r="F442" s="9"/>
      <c r="G442" s="9"/>
      <c r="H442" s="9"/>
      <c r="I442" s="9"/>
    </row>
    <row r="443" spans="1:9" ht="18" customHeight="1" x14ac:dyDescent="0.2">
      <c r="A443" s="9"/>
      <c r="B443" s="9"/>
      <c r="C443" s="9"/>
      <c r="D443" s="9"/>
      <c r="E443" s="10"/>
      <c r="F443" s="9"/>
      <c r="G443" s="9"/>
      <c r="H443" s="9"/>
      <c r="I443" s="9"/>
    </row>
    <row r="444" spans="1:9" ht="18" customHeight="1" x14ac:dyDescent="0.2">
      <c r="A444" s="9"/>
      <c r="B444" s="9"/>
      <c r="C444" s="9"/>
      <c r="D444" s="9"/>
      <c r="E444" s="10"/>
      <c r="F444" s="9"/>
      <c r="G444" s="9"/>
      <c r="H444" s="9"/>
      <c r="I444" s="9"/>
    </row>
    <row r="445" spans="1:9" ht="18" customHeight="1" x14ac:dyDescent="0.2">
      <c r="A445" s="9"/>
      <c r="B445" s="9"/>
      <c r="C445" s="9"/>
      <c r="D445" s="9"/>
      <c r="E445" s="10"/>
      <c r="F445" s="9"/>
      <c r="G445" s="9"/>
      <c r="H445" s="9"/>
      <c r="I445" s="9"/>
    </row>
    <row r="446" spans="1:9" ht="18" customHeight="1" x14ac:dyDescent="0.2">
      <c r="A446" s="9"/>
      <c r="B446" s="9"/>
      <c r="C446" s="9"/>
      <c r="D446" s="9"/>
      <c r="E446" s="10"/>
      <c r="F446" s="9"/>
      <c r="G446" s="9"/>
      <c r="H446" s="9"/>
      <c r="I446" s="9"/>
    </row>
    <row r="447" spans="1:9" ht="18" customHeight="1" x14ac:dyDescent="0.2">
      <c r="A447" s="9"/>
      <c r="B447" s="9"/>
      <c r="C447" s="9"/>
      <c r="D447" s="9"/>
      <c r="E447" s="10"/>
      <c r="F447" s="9"/>
      <c r="G447" s="9"/>
      <c r="H447" s="9"/>
      <c r="I447" s="9"/>
    </row>
    <row r="448" spans="1:9" ht="18" customHeight="1" x14ac:dyDescent="0.2">
      <c r="A448" s="9"/>
      <c r="B448" s="9"/>
      <c r="C448" s="9"/>
      <c r="D448" s="9"/>
      <c r="E448" s="10"/>
      <c r="F448" s="9"/>
      <c r="G448" s="9"/>
      <c r="H448" s="9"/>
      <c r="I448" s="9"/>
    </row>
    <row r="449" spans="1:9" ht="18" customHeight="1" x14ac:dyDescent="0.2">
      <c r="A449" s="9"/>
      <c r="B449" s="9"/>
      <c r="C449" s="9"/>
      <c r="D449" s="9"/>
      <c r="E449" s="10"/>
      <c r="F449" s="9"/>
      <c r="G449" s="9"/>
      <c r="H449" s="9"/>
      <c r="I449" s="9"/>
    </row>
    <row r="450" spans="1:9" ht="18" customHeight="1" x14ac:dyDescent="0.2">
      <c r="A450" s="9"/>
      <c r="B450" s="9"/>
      <c r="C450" s="9"/>
      <c r="D450" s="9"/>
      <c r="E450" s="10"/>
      <c r="F450" s="9"/>
      <c r="G450" s="9"/>
      <c r="H450" s="9"/>
      <c r="I450" s="9"/>
    </row>
    <row r="451" spans="1:9" ht="18" customHeight="1" x14ac:dyDescent="0.2">
      <c r="A451" s="9"/>
      <c r="B451" s="9"/>
      <c r="C451" s="9"/>
      <c r="D451" s="9"/>
      <c r="E451" s="10"/>
      <c r="F451" s="9"/>
      <c r="G451" s="9"/>
      <c r="H451" s="9"/>
      <c r="I451" s="9"/>
    </row>
    <row r="452" spans="1:9" ht="18" customHeight="1" x14ac:dyDescent="0.2">
      <c r="A452" s="9"/>
      <c r="B452" s="9"/>
      <c r="C452" s="9"/>
      <c r="D452" s="9"/>
      <c r="E452" s="10"/>
      <c r="F452" s="9"/>
      <c r="G452" s="9"/>
      <c r="H452" s="9"/>
      <c r="I452" s="9"/>
    </row>
    <row r="453" spans="1:9" ht="18" customHeight="1" x14ac:dyDescent="0.2">
      <c r="A453" s="9"/>
      <c r="B453" s="9"/>
      <c r="C453" s="9"/>
      <c r="D453" s="9"/>
      <c r="E453" s="10"/>
      <c r="F453" s="9"/>
      <c r="G453" s="9"/>
      <c r="H453" s="9"/>
      <c r="I453" s="9"/>
    </row>
    <row r="454" spans="1:9" ht="18" customHeight="1" x14ac:dyDescent="0.2">
      <c r="A454" s="9"/>
      <c r="B454" s="9"/>
      <c r="C454" s="9"/>
      <c r="D454" s="9"/>
      <c r="E454" s="10"/>
      <c r="F454" s="9"/>
      <c r="G454" s="9"/>
      <c r="H454" s="9"/>
      <c r="I454" s="9"/>
    </row>
    <row r="455" spans="1:9" ht="18" customHeight="1" x14ac:dyDescent="0.2">
      <c r="A455" s="9"/>
      <c r="B455" s="9"/>
      <c r="C455" s="9"/>
      <c r="D455" s="9"/>
      <c r="E455" s="10"/>
      <c r="F455" s="9"/>
      <c r="G455" s="9"/>
      <c r="H455" s="9"/>
      <c r="I455" s="9"/>
    </row>
    <row r="456" spans="1:9" ht="18" customHeight="1" x14ac:dyDescent="0.2">
      <c r="A456" s="9"/>
      <c r="B456" s="9"/>
      <c r="C456" s="9"/>
      <c r="D456" s="9"/>
      <c r="E456" s="10"/>
      <c r="F456" s="9"/>
      <c r="G456" s="9"/>
      <c r="H456" s="9"/>
      <c r="I456" s="9"/>
    </row>
    <row r="457" spans="1:9" ht="18" customHeight="1" x14ac:dyDescent="0.2">
      <c r="A457" s="9"/>
      <c r="B457" s="9"/>
      <c r="C457" s="9"/>
      <c r="D457" s="9"/>
      <c r="E457" s="10"/>
      <c r="F457" s="9"/>
      <c r="G457" s="9"/>
      <c r="H457" s="9"/>
      <c r="I457" s="9"/>
    </row>
    <row r="458" spans="1:9" ht="18" customHeight="1" x14ac:dyDescent="0.2">
      <c r="A458" s="9"/>
      <c r="B458" s="9"/>
      <c r="C458" s="9"/>
      <c r="D458" s="9"/>
      <c r="E458" s="10"/>
      <c r="F458" s="9"/>
      <c r="G458" s="9"/>
      <c r="H458" s="9"/>
      <c r="I458" s="9"/>
    </row>
    <row r="459" spans="1:9" ht="18" customHeight="1" x14ac:dyDescent="0.2">
      <c r="A459" s="9"/>
      <c r="B459" s="9"/>
      <c r="C459" s="9"/>
      <c r="D459" s="9"/>
      <c r="E459" s="10"/>
      <c r="F459" s="9"/>
      <c r="G459" s="9"/>
      <c r="H459" s="9"/>
      <c r="I459" s="9"/>
    </row>
    <row r="460" spans="1:9" ht="18" customHeight="1" x14ac:dyDescent="0.2">
      <c r="A460" s="9"/>
      <c r="B460" s="9"/>
      <c r="C460" s="9"/>
      <c r="D460" s="9"/>
      <c r="E460" s="10"/>
      <c r="F460" s="9"/>
      <c r="G460" s="9"/>
      <c r="H460" s="9"/>
      <c r="I460" s="9"/>
    </row>
    <row r="461" spans="1:9" ht="18" customHeight="1" x14ac:dyDescent="0.2">
      <c r="A461" s="9"/>
      <c r="B461" s="9"/>
      <c r="C461" s="9"/>
      <c r="D461" s="9"/>
      <c r="E461" s="10"/>
      <c r="F461" s="9"/>
      <c r="G461" s="9"/>
      <c r="H461" s="9"/>
      <c r="I461" s="9"/>
    </row>
    <row r="462" spans="1:9" ht="18" customHeight="1" x14ac:dyDescent="0.2">
      <c r="A462" s="9"/>
      <c r="B462" s="9"/>
      <c r="C462" s="9"/>
      <c r="D462" s="9"/>
      <c r="E462" s="10"/>
      <c r="F462" s="9"/>
      <c r="G462" s="9"/>
      <c r="H462" s="9"/>
      <c r="I462" s="9"/>
    </row>
    <row r="463" spans="1:9" ht="18" customHeight="1" x14ac:dyDescent="0.2">
      <c r="A463" s="9"/>
      <c r="B463" s="9"/>
      <c r="C463" s="9"/>
      <c r="D463" s="9"/>
      <c r="E463" s="10"/>
      <c r="F463" s="9"/>
      <c r="G463" s="9"/>
      <c r="H463" s="9"/>
      <c r="I463" s="9"/>
    </row>
    <row r="464" spans="1:9" ht="18" customHeight="1" x14ac:dyDescent="0.2">
      <c r="A464" s="9"/>
      <c r="B464" s="9"/>
      <c r="C464" s="9"/>
      <c r="D464" s="9"/>
      <c r="E464" s="10"/>
      <c r="F464" s="9"/>
      <c r="G464" s="9"/>
      <c r="H464" s="9"/>
      <c r="I464" s="9"/>
    </row>
    <row r="465" spans="1:9" ht="18" customHeight="1" x14ac:dyDescent="0.2">
      <c r="A465" s="9"/>
      <c r="B465" s="9"/>
      <c r="C465" s="9"/>
      <c r="D465" s="9"/>
      <c r="E465" s="10"/>
      <c r="F465" s="9"/>
      <c r="G465" s="9"/>
      <c r="H465" s="9"/>
      <c r="I465" s="9"/>
    </row>
    <row r="466" spans="1:9" ht="18" customHeight="1" x14ac:dyDescent="0.2">
      <c r="A466" s="9"/>
      <c r="B466" s="9"/>
      <c r="C466" s="9"/>
      <c r="D466" s="9"/>
      <c r="E466" s="10"/>
      <c r="F466" s="9"/>
      <c r="G466" s="9"/>
      <c r="H466" s="9"/>
      <c r="I466" s="9"/>
    </row>
    <row r="467" spans="1:9" ht="18" customHeight="1" x14ac:dyDescent="0.2">
      <c r="A467" s="9"/>
      <c r="B467" s="9"/>
      <c r="C467" s="9"/>
      <c r="D467" s="9"/>
      <c r="E467" s="10"/>
      <c r="F467" s="9"/>
      <c r="G467" s="9"/>
      <c r="H467" s="9"/>
      <c r="I467" s="9"/>
    </row>
    <row r="468" spans="1:9" ht="18" customHeight="1" x14ac:dyDescent="0.2">
      <c r="A468" s="9"/>
      <c r="B468" s="9"/>
      <c r="C468" s="9"/>
      <c r="D468" s="9"/>
      <c r="E468" s="10"/>
      <c r="F468" s="9"/>
      <c r="G468" s="9"/>
      <c r="H468" s="9"/>
      <c r="I468" s="9"/>
    </row>
    <row r="469" spans="1:9" ht="18" customHeight="1" x14ac:dyDescent="0.2">
      <c r="A469" s="9"/>
      <c r="B469" s="9"/>
      <c r="C469" s="9"/>
      <c r="D469" s="9"/>
      <c r="E469" s="10"/>
      <c r="F469" s="9"/>
      <c r="G469" s="9"/>
      <c r="H469" s="9"/>
      <c r="I469" s="9"/>
    </row>
    <row r="470" spans="1:9" ht="18" customHeight="1" x14ac:dyDescent="0.2">
      <c r="A470" s="9"/>
      <c r="B470" s="9"/>
      <c r="C470" s="9"/>
      <c r="D470" s="9"/>
      <c r="E470" s="10"/>
      <c r="F470" s="9"/>
      <c r="G470" s="9"/>
      <c r="H470" s="9"/>
      <c r="I470" s="9"/>
    </row>
    <row r="471" spans="1:9" ht="18" customHeight="1" x14ac:dyDescent="0.2">
      <c r="A471" s="9"/>
      <c r="B471" s="9"/>
      <c r="C471" s="9"/>
      <c r="D471" s="9"/>
      <c r="E471" s="10"/>
      <c r="F471" s="9"/>
      <c r="G471" s="9"/>
      <c r="H471" s="9"/>
      <c r="I471" s="9"/>
    </row>
    <row r="472" spans="1:9" ht="18" customHeight="1" x14ac:dyDescent="0.2">
      <c r="A472" s="9"/>
      <c r="B472" s="9"/>
      <c r="C472" s="9"/>
      <c r="D472" s="9"/>
      <c r="E472" s="10"/>
      <c r="F472" s="9"/>
      <c r="G472" s="9"/>
      <c r="H472" s="9"/>
      <c r="I472" s="9"/>
    </row>
    <row r="473" spans="1:9" ht="18" customHeight="1" x14ac:dyDescent="0.2">
      <c r="A473" s="9"/>
      <c r="B473" s="9"/>
      <c r="C473" s="9"/>
      <c r="D473" s="9"/>
      <c r="E473" s="10"/>
      <c r="F473" s="9"/>
      <c r="G473" s="9"/>
      <c r="H473" s="9"/>
      <c r="I473" s="9"/>
    </row>
    <row r="474" spans="1:9" ht="18" customHeight="1" x14ac:dyDescent="0.2">
      <c r="A474" s="9"/>
      <c r="B474" s="9"/>
      <c r="C474" s="9"/>
      <c r="D474" s="9"/>
      <c r="E474" s="10"/>
      <c r="F474" s="9"/>
      <c r="G474" s="9"/>
      <c r="H474" s="9"/>
      <c r="I474" s="9"/>
    </row>
    <row r="475" spans="1:9" ht="18" customHeight="1" x14ac:dyDescent="0.2">
      <c r="A475" s="9"/>
      <c r="B475" s="9"/>
      <c r="C475" s="9"/>
      <c r="D475" s="9"/>
      <c r="E475" s="10"/>
      <c r="F475" s="9"/>
      <c r="G475" s="9"/>
      <c r="H475" s="9"/>
      <c r="I475" s="9"/>
    </row>
    <row r="476" spans="1:9" ht="18" customHeight="1" x14ac:dyDescent="0.2">
      <c r="A476" s="9"/>
      <c r="B476" s="9"/>
      <c r="C476" s="9"/>
      <c r="D476" s="9"/>
      <c r="E476" s="10"/>
      <c r="F476" s="9"/>
      <c r="G476" s="9"/>
      <c r="H476" s="9"/>
      <c r="I476" s="9"/>
    </row>
    <row r="477" spans="1:9" ht="18" customHeight="1" x14ac:dyDescent="0.2">
      <c r="A477" s="9"/>
      <c r="B477" s="9"/>
      <c r="C477" s="9"/>
      <c r="D477" s="9"/>
      <c r="E477" s="10"/>
      <c r="F477" s="9"/>
      <c r="G477" s="9"/>
      <c r="H477" s="9"/>
      <c r="I477" s="9"/>
    </row>
    <row r="478" spans="1:9" ht="18" customHeight="1" x14ac:dyDescent="0.2">
      <c r="A478" s="9"/>
      <c r="B478" s="9"/>
      <c r="C478" s="9"/>
      <c r="D478" s="9"/>
      <c r="E478" s="10"/>
      <c r="F478" s="9"/>
      <c r="G478" s="9"/>
      <c r="H478" s="9"/>
      <c r="I478" s="9"/>
    </row>
    <row r="479" spans="1:9" ht="18" customHeight="1" x14ac:dyDescent="0.2">
      <c r="A479" s="9"/>
      <c r="B479" s="9"/>
      <c r="C479" s="9"/>
      <c r="D479" s="9"/>
      <c r="E479" s="10"/>
      <c r="F479" s="9"/>
      <c r="G479" s="9"/>
      <c r="H479" s="9"/>
      <c r="I479" s="9"/>
    </row>
    <row r="480" spans="1:9" ht="18" customHeight="1" x14ac:dyDescent="0.2">
      <c r="A480" s="9"/>
      <c r="B480" s="9"/>
      <c r="C480" s="9"/>
      <c r="D480" s="9"/>
      <c r="E480" s="10"/>
      <c r="F480" s="9"/>
      <c r="G480" s="9"/>
      <c r="H480" s="9"/>
      <c r="I480" s="9"/>
    </row>
    <row r="481" spans="1:9" ht="18" customHeight="1" x14ac:dyDescent="0.2">
      <c r="A481" s="9"/>
      <c r="B481" s="9"/>
      <c r="C481" s="9"/>
      <c r="D481" s="9"/>
      <c r="E481" s="10"/>
      <c r="F481" s="9"/>
      <c r="G481" s="9"/>
      <c r="H481" s="9"/>
      <c r="I481" s="9"/>
    </row>
    <row r="482" spans="1:9" ht="18" customHeight="1" x14ac:dyDescent="0.2">
      <c r="A482" s="9"/>
      <c r="B482" s="9"/>
      <c r="C482" s="9"/>
      <c r="D482" s="9"/>
      <c r="E482" s="10"/>
      <c r="F482" s="9"/>
      <c r="G482" s="9"/>
      <c r="H482" s="9"/>
      <c r="I482" s="9"/>
    </row>
  </sheetData>
  <autoFilter ref="A3:H77" xr:uid="{9C28E00E-089B-46EB-BE93-DC9F3E3AD7D8}">
    <sortState xmlns:xlrd2="http://schemas.microsoft.com/office/spreadsheetml/2017/richdata2" ref="A4:H77">
      <sortCondition ref="A3:A77"/>
    </sortState>
  </autoFilter>
  <hyperlinks>
    <hyperlink ref="F40" r:id="rId1" display="https://www.google.com/search?num=50&amp;safe=off&amp;site=&amp;source=hp&amp;q=REPLACEME&amp;btnG=Search&amp;oq=&amp;gs_l=" xr:uid="{A9F344CD-61A9-4193-B484-7291C58E5C20}"/>
    <hyperlink ref="F46" r:id="rId2" xr:uid="{C4243C3C-4F20-4C8F-AF88-2EEABF9CCE70}"/>
    <hyperlink ref="G41" r:id="rId3" xr:uid="{1E438683-0D5A-48AB-AF12-E7E3E0367EB0}"/>
    <hyperlink ref="F41" r:id="rId4" xr:uid="{9C5235CD-979A-4635-8291-476B781A7A09}"/>
    <hyperlink ref="F53" r:id="rId5" xr:uid="{3E2A8ED1-9AE9-4501-98C1-2679AE79041E}"/>
    <hyperlink ref="F56" r:id="rId6" xr:uid="{81118629-A4DE-4441-848C-37CF983AB8CF}"/>
    <hyperlink ref="F51" r:id="rId7" xr:uid="{C86299D4-85C2-4E3D-B230-7CE21DAEB261}"/>
    <hyperlink ref="F48" r:id="rId8" xr:uid="{55B71DE5-F7F0-4076-84C3-EE163E6D80FF}"/>
    <hyperlink ref="F49" r:id="rId9" xr:uid="{D463BEE5-0E12-488F-AEDB-68DF80057E65}"/>
    <hyperlink ref="F54" r:id="rId10" xr:uid="{41E579B9-F5B9-412A-8739-E2D09958137B}"/>
    <hyperlink ref="F57" r:id="rId11" xr:uid="{3808F15E-60BD-423E-AC89-76809464BFCA}"/>
    <hyperlink ref="F52" r:id="rId12" xr:uid="{95F8BE80-2003-4D03-B832-3ACD2307C2C1}"/>
    <hyperlink ref="F55" r:id="rId13" xr:uid="{95053702-E44C-4293-AFD2-F6F365926CAE}"/>
    <hyperlink ref="F50" r:id="rId14" xr:uid="{0C00780F-95DD-4F02-8160-205283469DA8}"/>
    <hyperlink ref="F45" r:id="rId15" xr:uid="{1045B838-DFFD-44ED-AA20-DB07B19C2A4F}"/>
    <hyperlink ref="F9" r:id="rId16" display="https://axians.topdesk.net/tas/secure/incident?action=lookup&amp;lookup=naam&amp;lookupValue=REPLACEME" xr:uid="{E287A3AF-A871-4EBD-913D-8168D88C57E4}"/>
    <hyperlink ref="F11" r:id="rId17" display="https://vincienergies.sharepoint.com/:x:/r/sites/AxiansPSManagedServicesTeam/Documents%20partages/General/Ochtendcontrole/Whiteboard%202.0.xlsx?d=w8f40518b1395443bbc43f59c0c153edc&amp;csf=1&amp;web=1&amp;e=2lxaND" xr:uid="{88FDA7FC-0059-4751-AC16-72D6E80A8F10}"/>
    <hyperlink ref="F43" r:id="rId18" xr:uid="{A8EE83B9-253D-4F50-89E9-27B00CD8F74F}"/>
    <hyperlink ref="F47" r:id="rId19" xr:uid="{AF4F6F19-DD49-4986-B722-B7660A9A4C9F}"/>
  </hyperlinks>
  <pageMargins left="0.7" right="0.7" top="0.75" bottom="0.75" header="0.3" footer="0.3"/>
  <pageSetup orientation="portrait" r:id="rId2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C799F-C5A3-4316-9498-86D4247AF5D5}">
  <sheetPr codeName="Sheet3"/>
  <dimension ref="A2:L1018"/>
  <sheetViews>
    <sheetView topLeftCell="D1" workbookViewId="0">
      <selection activeCell="E4" sqref="E4"/>
    </sheetView>
  </sheetViews>
  <sheetFormatPr defaultRowHeight="15" x14ac:dyDescent="0.25"/>
  <cols>
    <col min="1" max="1" width="21.25" bestFit="1" customWidth="1"/>
    <col min="2" max="2" width="89.25" bestFit="1" customWidth="1"/>
    <col min="3" max="3" width="25.5" customWidth="1"/>
    <col min="4" max="4" width="21" customWidth="1"/>
    <col min="5" max="5" width="20" customWidth="1"/>
    <col min="6" max="6" width="22.25" bestFit="1" customWidth="1"/>
    <col min="7" max="7" width="23.625" customWidth="1"/>
    <col min="8" max="8" width="13.125" customWidth="1"/>
    <col min="9" max="9" width="9" customWidth="1"/>
    <col min="10" max="10" width="49.125" customWidth="1"/>
    <col min="12" max="12" width="57.625" customWidth="1"/>
  </cols>
  <sheetData>
    <row r="2" spans="1:12" x14ac:dyDescent="0.25">
      <c r="A2" t="s">
        <v>270</v>
      </c>
      <c r="B2" t="s">
        <v>271</v>
      </c>
    </row>
    <row r="3" spans="1:12" x14ac:dyDescent="0.25">
      <c r="A3" t="s">
        <v>269</v>
      </c>
    </row>
    <row r="4" spans="1:12" x14ac:dyDescent="0.25">
      <c r="B4" t="s">
        <v>224</v>
      </c>
      <c r="C4" t="str" cm="1">
        <f t="array" ref="C4">IF(ISNUMBER(SEARCH("\",B4)),INDEX(_xlfn.TEXTSPLIT(B4,"\"),6),"")</f>
        <v>Default</v>
      </c>
      <c r="D4" t="str" cm="1">
        <f t="array" ref="D4">IF(ISBLANK(B5),"",INDEX(_xlfn.TEXTSPLIT(B5,"    "),4))</f>
        <v>Work</v>
      </c>
      <c r="E4" t="str" cm="1">
        <f t="array" ref="E4:F25">_xlfn._xlws.FILTER(C4:D200, _xlfn.BYROW(C4:D200,_xlfn.LAMBDA(_xlpm.row, SUM( --( _xlpm.row &lt;&gt; ""))&lt;&gt;0)))</f>
        <v>Default</v>
      </c>
      <c r="F4" t="str">
        <v>Work</v>
      </c>
      <c r="G4" t="s">
        <v>272</v>
      </c>
      <c r="H4" t="s">
        <v>294</v>
      </c>
      <c r="I4" t="str">
        <f>"ep " &amp; LOWER(LEFT(F4,3))</f>
        <v>ep wor</v>
      </c>
      <c r="J4" t="str">
        <f>"Edge pr. " &amp;F4</f>
        <v>Edge pr. Work</v>
      </c>
      <c r="L4" t="str">
        <f>"tryrun('msedge.exe --profile-directory="""&amp;E4&amp;"""')"</f>
        <v>tryrun('msedge.exe --profile-directory="Default"')</v>
      </c>
    </row>
    <row r="5" spans="1:12" x14ac:dyDescent="0.25">
      <c r="B5" t="s">
        <v>225</v>
      </c>
      <c r="E5" t="str">
        <v>Profile 1</v>
      </c>
      <c r="F5" t="str">
        <v>Personal</v>
      </c>
      <c r="G5" t="s">
        <v>272</v>
      </c>
      <c r="H5" t="s">
        <v>294</v>
      </c>
      <c r="I5" t="str">
        <f t="shared" ref="I5:I68" si="0">"ep " &amp; LOWER(LEFT(F5,3))</f>
        <v>ep per</v>
      </c>
      <c r="J5" t="str">
        <f t="shared" ref="J5:J68" si="1">"Edge pr. " &amp;F5</f>
        <v>Edge pr. Personal</v>
      </c>
      <c r="L5" t="str">
        <f t="shared" ref="L5:L68" si="2">"tryrun('msedge.exe --profile-directory="""&amp;E5&amp;"""')"</f>
        <v>tryrun('msedge.exe --profile-directory="Profile 1"')</v>
      </c>
    </row>
    <row r="6" spans="1:12" x14ac:dyDescent="0.25">
      <c r="E6" t="str">
        <v>Profile 11</v>
      </c>
      <c r="F6" t="str">
        <v>NLO</v>
      </c>
      <c r="G6" t="s">
        <v>272</v>
      </c>
      <c r="H6" t="s">
        <v>294</v>
      </c>
      <c r="I6" t="str">
        <f t="shared" si="0"/>
        <v>ep nlo</v>
      </c>
      <c r="J6" t="str">
        <f t="shared" si="1"/>
        <v>Edge pr. NLO</v>
      </c>
      <c r="L6" t="str">
        <f t="shared" si="2"/>
        <v>tryrun('msedge.exe --profile-directory="Profile 11"')</v>
      </c>
    </row>
    <row r="7" spans="1:12" x14ac:dyDescent="0.25">
      <c r="B7" t="s">
        <v>226</v>
      </c>
      <c r="C7" t="str" cm="1">
        <f t="array" ref="C7">IF(ISNUMBER(SEARCH("\",B7)),INDEX(_xlfn.TEXTSPLIT(B7,"\"),6),"")</f>
        <v>Profile 1</v>
      </c>
      <c r="D7" t="str" cm="1">
        <f t="array" ref="D7">IF(ISBLANK(B8),"",INDEX(_xlfn.TEXTSPLIT(B8,"    "),4))</f>
        <v>Personal</v>
      </c>
      <c r="E7" t="str">
        <v>Profile 12</v>
      </c>
      <c r="F7" t="str">
        <v>BPD</v>
      </c>
      <c r="G7" t="s">
        <v>272</v>
      </c>
      <c r="H7" t="s">
        <v>294</v>
      </c>
      <c r="I7" t="str">
        <f t="shared" si="0"/>
        <v>ep bpd</v>
      </c>
      <c r="J7" t="str">
        <f t="shared" si="1"/>
        <v>Edge pr. BPD</v>
      </c>
      <c r="L7" t="str">
        <f t="shared" si="2"/>
        <v>tryrun('msedge.exe --profile-directory="Profile 12"')</v>
      </c>
    </row>
    <row r="8" spans="1:12" x14ac:dyDescent="0.25">
      <c r="B8" t="s">
        <v>227</v>
      </c>
      <c r="E8" t="str">
        <v>Profile 13</v>
      </c>
      <c r="F8" t="str">
        <v>DAK</v>
      </c>
      <c r="G8" t="s">
        <v>272</v>
      </c>
      <c r="H8" t="s">
        <v>294</v>
      </c>
      <c r="I8" t="str">
        <f t="shared" si="0"/>
        <v>ep dak</v>
      </c>
      <c r="J8" t="str">
        <f t="shared" si="1"/>
        <v>Edge pr. DAK</v>
      </c>
      <c r="L8" t="str">
        <f t="shared" si="2"/>
        <v>tryrun('msedge.exe --profile-directory="Profile 13"')</v>
      </c>
    </row>
    <row r="9" spans="1:12" x14ac:dyDescent="0.25">
      <c r="E9" t="str">
        <v>Profile 14</v>
      </c>
      <c r="F9" t="str">
        <v>Fleet (Support vened)</v>
      </c>
      <c r="G9" t="s">
        <v>272</v>
      </c>
      <c r="H9" t="s">
        <v>294</v>
      </c>
      <c r="I9" t="str">
        <f t="shared" si="0"/>
        <v>ep fle</v>
      </c>
      <c r="J9" t="str">
        <f t="shared" si="1"/>
        <v>Edge pr. Fleet (Support vened)</v>
      </c>
      <c r="L9" t="str">
        <f t="shared" si="2"/>
        <v>tryrun('msedge.exe --profile-directory="Profile 14"')</v>
      </c>
    </row>
    <row r="10" spans="1:12" x14ac:dyDescent="0.25">
      <c r="B10" t="s">
        <v>228</v>
      </c>
      <c r="C10" t="str" cm="1">
        <f t="array" ref="C10">IF(ISNUMBER(SEARCH("\",B10)),INDEX(_xlfn.TEXTSPLIT(B10,"\"),6),"")</f>
        <v>Profile 11</v>
      </c>
      <c r="D10" t="str" cm="1">
        <f t="array" ref="D10">IF(ISBLANK(B11),"",INDEX(_xlfn.TEXTSPLIT(B11,"    "),4))</f>
        <v>NLO</v>
      </c>
      <c r="E10" t="str">
        <v>Profile 15</v>
      </c>
      <c r="F10" t="str">
        <v>Zabbix admin</v>
      </c>
      <c r="G10" t="s">
        <v>272</v>
      </c>
      <c r="H10" t="s">
        <v>294</v>
      </c>
      <c r="I10" t="str">
        <f t="shared" si="0"/>
        <v>ep zab</v>
      </c>
      <c r="J10" t="str">
        <f t="shared" si="1"/>
        <v>Edge pr. Zabbix admin</v>
      </c>
      <c r="L10" t="str">
        <f t="shared" si="2"/>
        <v>tryrun('msedge.exe --profile-directory="Profile 15"')</v>
      </c>
    </row>
    <row r="11" spans="1:12" x14ac:dyDescent="0.25">
      <c r="B11" t="s">
        <v>229</v>
      </c>
      <c r="E11" t="str">
        <v>Profile 16</v>
      </c>
      <c r="F11" t="str">
        <v>Indigo</v>
      </c>
      <c r="G11" t="s">
        <v>272</v>
      </c>
      <c r="H11" t="s">
        <v>294</v>
      </c>
      <c r="I11" t="str">
        <f t="shared" si="0"/>
        <v>ep ind</v>
      </c>
      <c r="J11" t="str">
        <f t="shared" si="1"/>
        <v>Edge pr. Indigo</v>
      </c>
      <c r="L11" t="str">
        <f t="shared" si="2"/>
        <v>tryrun('msedge.exe --profile-directory="Profile 16"')</v>
      </c>
    </row>
    <row r="12" spans="1:12" x14ac:dyDescent="0.25">
      <c r="E12" t="str">
        <v>Profile 17</v>
      </c>
      <c r="F12" t="str">
        <v>Itho</v>
      </c>
      <c r="G12" t="s">
        <v>272</v>
      </c>
      <c r="H12" t="s">
        <v>294</v>
      </c>
      <c r="I12" t="str">
        <f t="shared" si="0"/>
        <v>ep ith</v>
      </c>
      <c r="J12" t="str">
        <f t="shared" si="1"/>
        <v>Edge pr. Itho</v>
      </c>
      <c r="L12" t="str">
        <f t="shared" si="2"/>
        <v>tryrun('msedge.exe --profile-directory="Profile 17"')</v>
      </c>
    </row>
    <row r="13" spans="1:12" x14ac:dyDescent="0.25">
      <c r="B13" t="s">
        <v>230</v>
      </c>
      <c r="C13" t="str" cm="1">
        <f t="array" ref="C13">IF(ISNUMBER(SEARCH("\",B13)),INDEX(_xlfn.TEXTSPLIT(B13,"\"),6),"")</f>
        <v>Profile 12</v>
      </c>
      <c r="D13" t="str" cm="1">
        <f t="array" ref="D13">IF(ISBLANK(B14),"",INDEX(_xlfn.TEXTSPLIT(B14,"    "),4))</f>
        <v>BPD</v>
      </c>
      <c r="E13" t="str">
        <v>Profile 18</v>
      </c>
      <c r="F13" t="str">
        <v>Buas</v>
      </c>
      <c r="G13" t="s">
        <v>272</v>
      </c>
      <c r="H13" t="s">
        <v>294</v>
      </c>
      <c r="I13" t="str">
        <f t="shared" si="0"/>
        <v>ep bua</v>
      </c>
      <c r="J13" t="str">
        <f t="shared" si="1"/>
        <v>Edge pr. Buas</v>
      </c>
      <c r="L13" t="str">
        <f t="shared" si="2"/>
        <v>tryrun('msedge.exe --profile-directory="Profile 18"')</v>
      </c>
    </row>
    <row r="14" spans="1:12" x14ac:dyDescent="0.25">
      <c r="B14" t="s">
        <v>231</v>
      </c>
      <c r="E14" t="str">
        <v>Profile 2</v>
      </c>
      <c r="F14" t="str">
        <v>Eikelkamp</v>
      </c>
      <c r="G14" t="s">
        <v>272</v>
      </c>
      <c r="H14" t="s">
        <v>294</v>
      </c>
      <c r="I14" t="str">
        <f t="shared" si="0"/>
        <v>ep eik</v>
      </c>
      <c r="J14" t="str">
        <f t="shared" si="1"/>
        <v>Edge pr. Eikelkamp</v>
      </c>
      <c r="L14" t="str">
        <f t="shared" si="2"/>
        <v>tryrun('msedge.exe --profile-directory="Profile 2"')</v>
      </c>
    </row>
    <row r="15" spans="1:12" x14ac:dyDescent="0.25">
      <c r="E15" t="str">
        <v>Profile 20</v>
      </c>
      <c r="F15" t="str">
        <v>Vion</v>
      </c>
      <c r="G15" t="s">
        <v>272</v>
      </c>
      <c r="H15" t="s">
        <v>294</v>
      </c>
      <c r="I15" t="str">
        <f t="shared" si="0"/>
        <v>ep vio</v>
      </c>
      <c r="J15" t="str">
        <f t="shared" si="1"/>
        <v>Edge pr. Vion</v>
      </c>
      <c r="L15" t="str">
        <f t="shared" si="2"/>
        <v>tryrun('msedge.exe --profile-directory="Profile 20"')</v>
      </c>
    </row>
    <row r="16" spans="1:12" x14ac:dyDescent="0.25">
      <c r="B16" t="s">
        <v>232</v>
      </c>
      <c r="C16" t="str" cm="1">
        <f t="array" ref="C16">IF(ISNUMBER(SEARCH("\",B16)),INDEX(_xlfn.TEXTSPLIT(B16,"\"),6),"")</f>
        <v>Profile 13</v>
      </c>
      <c r="D16" t="str" cm="1">
        <f t="array" ref="D16">IF(ISBLANK(B17),"",INDEX(_xlfn.TEXTSPLIT(B17,"    "),4))</f>
        <v>DAK</v>
      </c>
      <c r="E16" t="str">
        <v>Profile 21</v>
      </c>
      <c r="F16" t="str">
        <v>Foundation</v>
      </c>
      <c r="G16" t="s">
        <v>272</v>
      </c>
      <c r="H16" t="s">
        <v>294</v>
      </c>
      <c r="I16" t="str">
        <f t="shared" si="0"/>
        <v>ep fou</v>
      </c>
      <c r="J16" t="str">
        <f t="shared" si="1"/>
        <v>Edge pr. Foundation</v>
      </c>
      <c r="L16" t="str">
        <f t="shared" si="2"/>
        <v>tryrun('msedge.exe --profile-directory="Profile 21"')</v>
      </c>
    </row>
    <row r="17" spans="2:12" x14ac:dyDescent="0.25">
      <c r="B17" t="s">
        <v>233</v>
      </c>
      <c r="E17" t="str">
        <v>Profile 22</v>
      </c>
      <c r="F17" t="str">
        <v>Personal VENED</v>
      </c>
      <c r="G17" t="s">
        <v>272</v>
      </c>
      <c r="H17" t="s">
        <v>294</v>
      </c>
      <c r="I17" t="str">
        <f t="shared" si="0"/>
        <v>ep per</v>
      </c>
      <c r="J17" t="str">
        <f t="shared" si="1"/>
        <v>Edge pr. Personal VENED</v>
      </c>
      <c r="L17" t="str">
        <f t="shared" si="2"/>
        <v>tryrun('msedge.exe --profile-directory="Profile 22"')</v>
      </c>
    </row>
    <row r="18" spans="2:12" x14ac:dyDescent="0.25">
      <c r="E18" t="str">
        <v>Profile 23</v>
      </c>
      <c r="F18" t="str">
        <v>Synerlogic azure</v>
      </c>
      <c r="G18" t="s">
        <v>272</v>
      </c>
      <c r="H18" t="s">
        <v>294</v>
      </c>
      <c r="I18" t="str">
        <f t="shared" si="0"/>
        <v>ep syn</v>
      </c>
      <c r="J18" t="str">
        <f t="shared" si="1"/>
        <v>Edge pr. Synerlogic azure</v>
      </c>
      <c r="L18" t="str">
        <f t="shared" si="2"/>
        <v>tryrun('msedge.exe --profile-directory="Profile 23"')</v>
      </c>
    </row>
    <row r="19" spans="2:12" x14ac:dyDescent="0.25">
      <c r="B19" t="s">
        <v>234</v>
      </c>
      <c r="C19" t="str" cm="1">
        <f t="array" ref="C19">IF(ISNUMBER(SEARCH("\",B19)),INDEX(_xlfn.TEXTSPLIT(B19,"\"),6),"")</f>
        <v>Profile 14</v>
      </c>
      <c r="D19" t="str" cm="1">
        <f t="array" ref="D19">IF(ISBLANK(B20),"",INDEX(_xlfn.TEXTSPLIT(B20,"    "),4))</f>
        <v>Fleet (Support vened)</v>
      </c>
      <c r="E19" t="str">
        <v>Profile 24</v>
      </c>
      <c r="F19" t="str">
        <v>AxiansPS</v>
      </c>
      <c r="G19" t="s">
        <v>272</v>
      </c>
      <c r="H19" t="s">
        <v>294</v>
      </c>
      <c r="I19" t="str">
        <f t="shared" si="0"/>
        <v>ep axi</v>
      </c>
      <c r="J19" t="str">
        <f t="shared" si="1"/>
        <v>Edge pr. AxiansPS</v>
      </c>
      <c r="L19" t="str">
        <f t="shared" si="2"/>
        <v>tryrun('msedge.exe --profile-directory="Profile 24"')</v>
      </c>
    </row>
    <row r="20" spans="2:12" x14ac:dyDescent="0.25">
      <c r="B20" t="s">
        <v>235</v>
      </c>
      <c r="E20" t="str">
        <v>Profile 3</v>
      </c>
      <c r="F20" t="str">
        <v>Mediq</v>
      </c>
      <c r="G20" t="s">
        <v>272</v>
      </c>
      <c r="H20" t="s">
        <v>294</v>
      </c>
      <c r="I20" t="str">
        <f t="shared" si="0"/>
        <v>ep med</v>
      </c>
      <c r="J20" t="str">
        <f t="shared" si="1"/>
        <v>Edge pr. Mediq</v>
      </c>
      <c r="L20" t="str">
        <f t="shared" si="2"/>
        <v>tryrun('msedge.exe --profile-directory="Profile 3"')</v>
      </c>
    </row>
    <row r="21" spans="2:12" x14ac:dyDescent="0.25">
      <c r="E21" t="str">
        <v>Profile 4</v>
      </c>
      <c r="F21" t="str">
        <v>Support vinci</v>
      </c>
      <c r="G21" t="s">
        <v>272</v>
      </c>
      <c r="H21" t="s">
        <v>294</v>
      </c>
      <c r="I21" t="str">
        <f t="shared" si="0"/>
        <v>ep sup</v>
      </c>
      <c r="J21" t="str">
        <f t="shared" si="1"/>
        <v>Edge pr. Support vinci</v>
      </c>
      <c r="L21" t="str">
        <f t="shared" si="2"/>
        <v>tryrun('msedge.exe --profile-directory="Profile 4"')</v>
      </c>
    </row>
    <row r="22" spans="2:12" x14ac:dyDescent="0.25">
      <c r="B22" t="s">
        <v>236</v>
      </c>
      <c r="C22" t="str" cm="1">
        <f t="array" ref="C22">IF(ISNUMBER(SEARCH("\",B22)),INDEX(_xlfn.TEXTSPLIT(B22,"\"),6),"")</f>
        <v>Profile 15</v>
      </c>
      <c r="D22" t="str" cm="1">
        <f t="array" ref="D22">IF(ISBLANK(B23),"",INDEX(_xlfn.TEXTSPLIT(B23,"    "),4))</f>
        <v>Zabbix admin</v>
      </c>
      <c r="E22" t="str">
        <v>Profile 5</v>
      </c>
      <c r="F22" t="str">
        <v>Emergis</v>
      </c>
      <c r="G22" t="s">
        <v>272</v>
      </c>
      <c r="H22" t="s">
        <v>294</v>
      </c>
      <c r="I22" t="str">
        <f t="shared" si="0"/>
        <v>ep eme</v>
      </c>
      <c r="J22" t="str">
        <f t="shared" si="1"/>
        <v>Edge pr. Emergis</v>
      </c>
      <c r="L22" t="str">
        <f t="shared" si="2"/>
        <v>tryrun('msedge.exe --profile-directory="Profile 5"')</v>
      </c>
    </row>
    <row r="23" spans="2:12" x14ac:dyDescent="0.25">
      <c r="B23" t="s">
        <v>237</v>
      </c>
      <c r="E23" t="str">
        <v>Profile 6</v>
      </c>
      <c r="F23" t="str">
        <v>Burg</v>
      </c>
      <c r="G23" t="s">
        <v>272</v>
      </c>
      <c r="H23" t="s">
        <v>294</v>
      </c>
      <c r="I23" t="str">
        <f t="shared" si="0"/>
        <v>ep bur</v>
      </c>
      <c r="J23" t="str">
        <f t="shared" si="1"/>
        <v>Edge pr. Burg</v>
      </c>
      <c r="L23" t="str">
        <f t="shared" si="2"/>
        <v>tryrun('msedge.exe --profile-directory="Profile 6"')</v>
      </c>
    </row>
    <row r="24" spans="2:12" x14ac:dyDescent="0.25">
      <c r="E24" t="str">
        <v>Profile 7</v>
      </c>
      <c r="F24" t="str">
        <v>ODF</v>
      </c>
      <c r="G24" t="s">
        <v>272</v>
      </c>
      <c r="H24" t="s">
        <v>294</v>
      </c>
      <c r="I24" t="str">
        <f t="shared" si="0"/>
        <v>ep odf</v>
      </c>
      <c r="J24" t="str">
        <f t="shared" si="1"/>
        <v>Edge pr. ODF</v>
      </c>
      <c r="L24" t="str">
        <f t="shared" si="2"/>
        <v>tryrun('msedge.exe --profile-directory="Profile 7"')</v>
      </c>
    </row>
    <row r="25" spans="2:12" x14ac:dyDescent="0.25">
      <c r="B25" t="s">
        <v>238</v>
      </c>
      <c r="C25" t="str" cm="1">
        <f t="array" ref="C25">IF(ISNUMBER(SEARCH("\",B25)),INDEX(_xlfn.TEXTSPLIT(B25,"\"),6),"")</f>
        <v>Profile 16</v>
      </c>
      <c r="D25" t="str" cm="1">
        <f t="array" ref="D25">IF(ISBLANK(B26),"",INDEX(_xlfn.TEXTSPLIT(B26,"    "),4))</f>
        <v>Indigo</v>
      </c>
      <c r="E25" t="str">
        <v>Profile 8</v>
      </c>
      <c r="F25" t="str">
        <v>Kiwa</v>
      </c>
      <c r="G25" t="s">
        <v>272</v>
      </c>
      <c r="H25" t="s">
        <v>294</v>
      </c>
      <c r="I25" t="str">
        <f t="shared" si="0"/>
        <v>ep kiw</v>
      </c>
      <c r="J25" t="str">
        <f t="shared" si="1"/>
        <v>Edge pr. Kiwa</v>
      </c>
      <c r="L25" t="str">
        <f t="shared" si="2"/>
        <v>tryrun('msedge.exe --profile-directory="Profile 8"')</v>
      </c>
    </row>
    <row r="26" spans="2:12" x14ac:dyDescent="0.25">
      <c r="B26" t="s">
        <v>239</v>
      </c>
      <c r="G26" t="s">
        <v>272</v>
      </c>
      <c r="H26" t="s">
        <v>294</v>
      </c>
      <c r="I26" t="str">
        <f t="shared" si="0"/>
        <v xml:space="preserve">ep </v>
      </c>
      <c r="J26" t="str">
        <f t="shared" si="1"/>
        <v xml:space="preserve">Edge pr. </v>
      </c>
      <c r="L26" t="str">
        <f t="shared" si="2"/>
        <v>tryrun('msedge.exe --profile-directory=""')</v>
      </c>
    </row>
    <row r="27" spans="2:12" x14ac:dyDescent="0.25">
      <c r="G27" t="s">
        <v>272</v>
      </c>
      <c r="H27" t="s">
        <v>294</v>
      </c>
      <c r="I27" t="str">
        <f t="shared" si="0"/>
        <v xml:space="preserve">ep </v>
      </c>
      <c r="J27" t="str">
        <f t="shared" si="1"/>
        <v xml:space="preserve">Edge pr. </v>
      </c>
      <c r="L27" t="str">
        <f t="shared" si="2"/>
        <v>tryrun('msedge.exe --profile-directory=""')</v>
      </c>
    </row>
    <row r="28" spans="2:12" x14ac:dyDescent="0.25">
      <c r="B28" t="s">
        <v>240</v>
      </c>
      <c r="C28" t="str" cm="1">
        <f t="array" ref="C28">IF(ISNUMBER(SEARCH("\",B28)),INDEX(_xlfn.TEXTSPLIT(B28,"\"),6),"")</f>
        <v>Profile 17</v>
      </c>
      <c r="D28" t="str" cm="1">
        <f t="array" ref="D28">IF(ISBLANK(B29),"",INDEX(_xlfn.TEXTSPLIT(B29,"    "),4))</f>
        <v>Itho</v>
      </c>
      <c r="G28" t="s">
        <v>272</v>
      </c>
      <c r="H28" t="s">
        <v>294</v>
      </c>
      <c r="I28" t="str">
        <f t="shared" si="0"/>
        <v xml:space="preserve">ep </v>
      </c>
      <c r="J28" t="str">
        <f t="shared" si="1"/>
        <v xml:space="preserve">Edge pr. </v>
      </c>
      <c r="L28" t="str">
        <f t="shared" si="2"/>
        <v>tryrun('msedge.exe --profile-directory=""')</v>
      </c>
    </row>
    <row r="29" spans="2:12" x14ac:dyDescent="0.25">
      <c r="B29" t="s">
        <v>241</v>
      </c>
      <c r="G29" t="s">
        <v>272</v>
      </c>
      <c r="H29" t="s">
        <v>294</v>
      </c>
      <c r="I29" t="str">
        <f t="shared" si="0"/>
        <v xml:space="preserve">ep </v>
      </c>
      <c r="J29" t="str">
        <f t="shared" si="1"/>
        <v xml:space="preserve">Edge pr. </v>
      </c>
      <c r="L29" t="str">
        <f t="shared" si="2"/>
        <v>tryrun('msedge.exe --profile-directory=""')</v>
      </c>
    </row>
    <row r="30" spans="2:12" x14ac:dyDescent="0.25">
      <c r="G30" t="s">
        <v>272</v>
      </c>
      <c r="H30" t="s">
        <v>294</v>
      </c>
      <c r="I30" t="str">
        <f t="shared" si="0"/>
        <v xml:space="preserve">ep </v>
      </c>
      <c r="J30" t="str">
        <f t="shared" si="1"/>
        <v xml:space="preserve">Edge pr. </v>
      </c>
      <c r="L30" t="str">
        <f t="shared" si="2"/>
        <v>tryrun('msedge.exe --profile-directory=""')</v>
      </c>
    </row>
    <row r="31" spans="2:12" x14ac:dyDescent="0.25">
      <c r="B31" t="s">
        <v>242</v>
      </c>
      <c r="C31" t="str" cm="1">
        <f t="array" ref="C31">IF(ISNUMBER(SEARCH("\",B31)),INDEX(_xlfn.TEXTSPLIT(B31,"\"),6),"")</f>
        <v>Profile 18</v>
      </c>
      <c r="D31" t="str" cm="1">
        <f t="array" ref="D31">IF(ISBLANK(B32),"",INDEX(_xlfn.TEXTSPLIT(B32,"    "),4))</f>
        <v>Buas</v>
      </c>
      <c r="G31" t="s">
        <v>272</v>
      </c>
      <c r="H31" t="s">
        <v>294</v>
      </c>
      <c r="I31" t="str">
        <f t="shared" si="0"/>
        <v xml:space="preserve">ep </v>
      </c>
      <c r="J31" t="str">
        <f t="shared" si="1"/>
        <v xml:space="preserve">Edge pr. </v>
      </c>
      <c r="L31" t="str">
        <f t="shared" si="2"/>
        <v>tryrun('msedge.exe --profile-directory=""')</v>
      </c>
    </row>
    <row r="32" spans="2:12" x14ac:dyDescent="0.25">
      <c r="B32" t="s">
        <v>243</v>
      </c>
      <c r="G32" t="s">
        <v>272</v>
      </c>
      <c r="H32" t="s">
        <v>294</v>
      </c>
      <c r="I32" t="str">
        <f t="shared" si="0"/>
        <v xml:space="preserve">ep </v>
      </c>
      <c r="J32" t="str">
        <f t="shared" si="1"/>
        <v xml:space="preserve">Edge pr. </v>
      </c>
      <c r="L32" t="str">
        <f t="shared" si="2"/>
        <v>tryrun('msedge.exe --profile-directory=""')</v>
      </c>
    </row>
    <row r="33" spans="2:12" x14ac:dyDescent="0.25">
      <c r="G33" t="s">
        <v>272</v>
      </c>
      <c r="H33" t="s">
        <v>294</v>
      </c>
      <c r="I33" t="str">
        <f t="shared" si="0"/>
        <v xml:space="preserve">ep </v>
      </c>
      <c r="J33" t="str">
        <f t="shared" si="1"/>
        <v xml:space="preserve">Edge pr. </v>
      </c>
      <c r="L33" t="str">
        <f t="shared" si="2"/>
        <v>tryrun('msedge.exe --profile-directory=""')</v>
      </c>
    </row>
    <row r="34" spans="2:12" x14ac:dyDescent="0.25">
      <c r="B34" t="s">
        <v>244</v>
      </c>
      <c r="C34" t="str" cm="1">
        <f t="array" ref="C34">IF(ISNUMBER(SEARCH("\",B34)),INDEX(_xlfn.TEXTSPLIT(B34,"\"),6),"")</f>
        <v>Profile 2</v>
      </c>
      <c r="D34" t="str" cm="1">
        <f t="array" ref="D34">IF(ISBLANK(B35),"",INDEX(_xlfn.TEXTSPLIT(B35,"    "),4))</f>
        <v>Eikelkamp</v>
      </c>
      <c r="G34" t="s">
        <v>272</v>
      </c>
      <c r="H34" t="s">
        <v>294</v>
      </c>
      <c r="I34" t="str">
        <f t="shared" si="0"/>
        <v xml:space="preserve">ep </v>
      </c>
      <c r="J34" t="str">
        <f t="shared" si="1"/>
        <v xml:space="preserve">Edge pr. </v>
      </c>
      <c r="L34" t="str">
        <f t="shared" si="2"/>
        <v>tryrun('msedge.exe --profile-directory=""')</v>
      </c>
    </row>
    <row r="35" spans="2:12" x14ac:dyDescent="0.25">
      <c r="B35" t="s">
        <v>245</v>
      </c>
      <c r="G35" t="s">
        <v>272</v>
      </c>
      <c r="H35" t="s">
        <v>294</v>
      </c>
      <c r="I35" t="str">
        <f t="shared" si="0"/>
        <v xml:space="preserve">ep </v>
      </c>
      <c r="J35" t="str">
        <f t="shared" si="1"/>
        <v xml:space="preserve">Edge pr. </v>
      </c>
      <c r="L35" t="str">
        <f t="shared" si="2"/>
        <v>tryrun('msedge.exe --profile-directory=""')</v>
      </c>
    </row>
    <row r="36" spans="2:12" x14ac:dyDescent="0.25">
      <c r="G36" t="s">
        <v>272</v>
      </c>
      <c r="H36" t="s">
        <v>294</v>
      </c>
      <c r="I36" t="str">
        <f t="shared" si="0"/>
        <v xml:space="preserve">ep </v>
      </c>
      <c r="J36" t="str">
        <f t="shared" si="1"/>
        <v xml:space="preserve">Edge pr. </v>
      </c>
      <c r="L36" t="str">
        <f t="shared" si="2"/>
        <v>tryrun('msedge.exe --profile-directory=""')</v>
      </c>
    </row>
    <row r="37" spans="2:12" x14ac:dyDescent="0.25">
      <c r="B37" t="s">
        <v>246</v>
      </c>
      <c r="C37" t="str" cm="1">
        <f t="array" ref="C37">IF(ISNUMBER(SEARCH("\",B37)),INDEX(_xlfn.TEXTSPLIT(B37,"\"),6),"")</f>
        <v>Profile 20</v>
      </c>
      <c r="D37" t="str" cm="1">
        <f t="array" ref="D37">IF(ISBLANK(B38),"",INDEX(_xlfn.TEXTSPLIT(B38,"    "),4))</f>
        <v>Vion</v>
      </c>
      <c r="G37" t="s">
        <v>272</v>
      </c>
      <c r="H37" t="s">
        <v>294</v>
      </c>
      <c r="I37" t="str">
        <f t="shared" si="0"/>
        <v xml:space="preserve">ep </v>
      </c>
      <c r="J37" t="str">
        <f t="shared" si="1"/>
        <v xml:space="preserve">Edge pr. </v>
      </c>
      <c r="L37" t="str">
        <f t="shared" si="2"/>
        <v>tryrun('msedge.exe --profile-directory=""')</v>
      </c>
    </row>
    <row r="38" spans="2:12" x14ac:dyDescent="0.25">
      <c r="B38" t="s">
        <v>247</v>
      </c>
      <c r="G38" t="s">
        <v>272</v>
      </c>
      <c r="H38" t="s">
        <v>294</v>
      </c>
      <c r="I38" t="str">
        <f t="shared" si="0"/>
        <v xml:space="preserve">ep </v>
      </c>
      <c r="J38" t="str">
        <f t="shared" si="1"/>
        <v xml:space="preserve">Edge pr. </v>
      </c>
      <c r="L38" t="str">
        <f t="shared" si="2"/>
        <v>tryrun('msedge.exe --profile-directory=""')</v>
      </c>
    </row>
    <row r="39" spans="2:12" x14ac:dyDescent="0.25">
      <c r="G39" t="s">
        <v>272</v>
      </c>
      <c r="H39" t="s">
        <v>294</v>
      </c>
      <c r="I39" t="str">
        <f t="shared" si="0"/>
        <v xml:space="preserve">ep </v>
      </c>
      <c r="J39" t="str">
        <f t="shared" si="1"/>
        <v xml:space="preserve">Edge pr. </v>
      </c>
      <c r="L39" t="str">
        <f t="shared" si="2"/>
        <v>tryrun('msedge.exe --profile-directory=""')</v>
      </c>
    </row>
    <row r="40" spans="2:12" x14ac:dyDescent="0.25">
      <c r="B40" t="s">
        <v>248</v>
      </c>
      <c r="C40" t="str" cm="1">
        <f t="array" ref="C40">IF(ISNUMBER(SEARCH("\",B40)),INDEX(_xlfn.TEXTSPLIT(B40,"\"),6),"")</f>
        <v>Profile 21</v>
      </c>
      <c r="D40" t="str" cm="1">
        <f t="array" ref="D40">IF(ISBLANK(B41),"",INDEX(_xlfn.TEXTSPLIT(B41,"    "),4))</f>
        <v>Foundation</v>
      </c>
      <c r="G40" t="s">
        <v>272</v>
      </c>
      <c r="H40" t="s">
        <v>294</v>
      </c>
      <c r="I40" t="str">
        <f t="shared" si="0"/>
        <v xml:space="preserve">ep </v>
      </c>
      <c r="J40" t="str">
        <f t="shared" si="1"/>
        <v xml:space="preserve">Edge pr. </v>
      </c>
      <c r="L40" t="str">
        <f t="shared" si="2"/>
        <v>tryrun('msedge.exe --profile-directory=""')</v>
      </c>
    </row>
    <row r="41" spans="2:12" x14ac:dyDescent="0.25">
      <c r="B41" t="s">
        <v>249</v>
      </c>
      <c r="G41" t="s">
        <v>272</v>
      </c>
      <c r="H41" t="s">
        <v>294</v>
      </c>
      <c r="I41" t="str">
        <f t="shared" si="0"/>
        <v xml:space="preserve">ep </v>
      </c>
      <c r="J41" t="str">
        <f t="shared" si="1"/>
        <v xml:space="preserve">Edge pr. </v>
      </c>
      <c r="L41" t="str">
        <f t="shared" si="2"/>
        <v>tryrun('msedge.exe --profile-directory=""')</v>
      </c>
    </row>
    <row r="42" spans="2:12" x14ac:dyDescent="0.25">
      <c r="G42" t="s">
        <v>272</v>
      </c>
      <c r="H42" t="s">
        <v>294</v>
      </c>
      <c r="I42" t="str">
        <f t="shared" si="0"/>
        <v xml:space="preserve">ep </v>
      </c>
      <c r="J42" t="str">
        <f t="shared" si="1"/>
        <v xml:space="preserve">Edge pr. </v>
      </c>
      <c r="L42" t="str">
        <f t="shared" si="2"/>
        <v>tryrun('msedge.exe --profile-directory=""')</v>
      </c>
    </row>
    <row r="43" spans="2:12" x14ac:dyDescent="0.25">
      <c r="B43" t="s">
        <v>250</v>
      </c>
      <c r="C43" t="str" cm="1">
        <f t="array" ref="C43">IF(ISNUMBER(SEARCH("\",B43)),INDEX(_xlfn.TEXTSPLIT(B43,"\"),6),"")</f>
        <v>Profile 22</v>
      </c>
      <c r="D43" t="str" cm="1">
        <f t="array" ref="D43">IF(ISBLANK(B44),"",INDEX(_xlfn.TEXTSPLIT(B44,"    "),4))</f>
        <v>Personal VENED</v>
      </c>
      <c r="G43" t="s">
        <v>272</v>
      </c>
      <c r="H43" t="s">
        <v>294</v>
      </c>
      <c r="I43" t="str">
        <f t="shared" si="0"/>
        <v xml:space="preserve">ep </v>
      </c>
      <c r="J43" t="str">
        <f t="shared" si="1"/>
        <v xml:space="preserve">Edge pr. </v>
      </c>
      <c r="L43" t="str">
        <f t="shared" si="2"/>
        <v>tryrun('msedge.exe --profile-directory=""')</v>
      </c>
    </row>
    <row r="44" spans="2:12" x14ac:dyDescent="0.25">
      <c r="B44" t="s">
        <v>251</v>
      </c>
      <c r="G44" t="s">
        <v>272</v>
      </c>
      <c r="H44" t="s">
        <v>294</v>
      </c>
      <c r="I44" t="str">
        <f t="shared" si="0"/>
        <v xml:space="preserve">ep </v>
      </c>
      <c r="J44" t="str">
        <f t="shared" si="1"/>
        <v xml:space="preserve">Edge pr. </v>
      </c>
      <c r="L44" t="str">
        <f t="shared" si="2"/>
        <v>tryrun('msedge.exe --profile-directory=""')</v>
      </c>
    </row>
    <row r="45" spans="2:12" x14ac:dyDescent="0.25">
      <c r="G45" t="s">
        <v>272</v>
      </c>
      <c r="H45" t="s">
        <v>294</v>
      </c>
      <c r="I45" t="str">
        <f t="shared" si="0"/>
        <v xml:space="preserve">ep </v>
      </c>
      <c r="J45" t="str">
        <f t="shared" si="1"/>
        <v xml:space="preserve">Edge pr. </v>
      </c>
      <c r="L45" t="str">
        <f t="shared" si="2"/>
        <v>tryrun('msedge.exe --profile-directory=""')</v>
      </c>
    </row>
    <row r="46" spans="2:12" x14ac:dyDescent="0.25">
      <c r="B46" t="s">
        <v>252</v>
      </c>
      <c r="C46" t="str" cm="1">
        <f t="array" ref="C46">IF(ISNUMBER(SEARCH("\",B46)),INDEX(_xlfn.TEXTSPLIT(B46,"\"),6),"")</f>
        <v>Profile 23</v>
      </c>
      <c r="D46" t="str" cm="1">
        <f t="array" ref="D46">IF(ISBLANK(B47),"",INDEX(_xlfn.TEXTSPLIT(B47,"    "),4))</f>
        <v>Synerlogic azure</v>
      </c>
      <c r="G46" t="s">
        <v>272</v>
      </c>
      <c r="H46" t="s">
        <v>294</v>
      </c>
      <c r="I46" t="str">
        <f t="shared" si="0"/>
        <v xml:space="preserve">ep </v>
      </c>
      <c r="J46" t="str">
        <f t="shared" si="1"/>
        <v xml:space="preserve">Edge pr. </v>
      </c>
      <c r="L46" t="str">
        <f t="shared" si="2"/>
        <v>tryrun('msedge.exe --profile-directory=""')</v>
      </c>
    </row>
    <row r="47" spans="2:12" x14ac:dyDescent="0.25">
      <c r="B47" t="s">
        <v>253</v>
      </c>
      <c r="G47" t="s">
        <v>272</v>
      </c>
      <c r="H47" t="s">
        <v>294</v>
      </c>
      <c r="I47" t="str">
        <f t="shared" si="0"/>
        <v xml:space="preserve">ep </v>
      </c>
      <c r="J47" t="str">
        <f t="shared" si="1"/>
        <v xml:space="preserve">Edge pr. </v>
      </c>
      <c r="L47" t="str">
        <f t="shared" si="2"/>
        <v>tryrun('msedge.exe --profile-directory=""')</v>
      </c>
    </row>
    <row r="48" spans="2:12" x14ac:dyDescent="0.25">
      <c r="G48" t="s">
        <v>272</v>
      </c>
      <c r="H48" t="s">
        <v>294</v>
      </c>
      <c r="I48" t="str">
        <f t="shared" si="0"/>
        <v xml:space="preserve">ep </v>
      </c>
      <c r="J48" t="str">
        <f t="shared" si="1"/>
        <v xml:space="preserve">Edge pr. </v>
      </c>
      <c r="L48" t="str">
        <f t="shared" si="2"/>
        <v>tryrun('msedge.exe --profile-directory=""')</v>
      </c>
    </row>
    <row r="49" spans="2:12" x14ac:dyDescent="0.25">
      <c r="B49" t="s">
        <v>254</v>
      </c>
      <c r="C49" t="str" cm="1">
        <f t="array" ref="C49">IF(ISNUMBER(SEARCH("\",B49)),INDEX(_xlfn.TEXTSPLIT(B49,"\"),6),"")</f>
        <v>Profile 24</v>
      </c>
      <c r="D49" t="str" cm="1">
        <f t="array" ref="D49">IF(ISBLANK(B50),"",INDEX(_xlfn.TEXTSPLIT(B50,"    "),4))</f>
        <v>AxiansPS</v>
      </c>
      <c r="G49" t="s">
        <v>272</v>
      </c>
      <c r="H49" t="s">
        <v>294</v>
      </c>
      <c r="I49" t="str">
        <f t="shared" si="0"/>
        <v xml:space="preserve">ep </v>
      </c>
      <c r="J49" t="str">
        <f t="shared" si="1"/>
        <v xml:space="preserve">Edge pr. </v>
      </c>
      <c r="L49" t="str">
        <f t="shared" si="2"/>
        <v>tryrun('msedge.exe --profile-directory=""')</v>
      </c>
    </row>
    <row r="50" spans="2:12" x14ac:dyDescent="0.25">
      <c r="B50" t="s">
        <v>255</v>
      </c>
      <c r="G50" t="s">
        <v>272</v>
      </c>
      <c r="H50" t="s">
        <v>294</v>
      </c>
      <c r="I50" t="str">
        <f t="shared" si="0"/>
        <v xml:space="preserve">ep </v>
      </c>
      <c r="J50" t="str">
        <f t="shared" si="1"/>
        <v xml:space="preserve">Edge pr. </v>
      </c>
      <c r="L50" t="str">
        <f t="shared" si="2"/>
        <v>tryrun('msedge.exe --profile-directory=""')</v>
      </c>
    </row>
    <row r="51" spans="2:12" x14ac:dyDescent="0.25">
      <c r="G51" t="s">
        <v>272</v>
      </c>
      <c r="H51" t="s">
        <v>294</v>
      </c>
      <c r="I51" t="str">
        <f t="shared" si="0"/>
        <v xml:space="preserve">ep </v>
      </c>
      <c r="J51" t="str">
        <f t="shared" si="1"/>
        <v xml:space="preserve">Edge pr. </v>
      </c>
      <c r="L51" t="str">
        <f t="shared" si="2"/>
        <v>tryrun('msedge.exe --profile-directory=""')</v>
      </c>
    </row>
    <row r="52" spans="2:12" x14ac:dyDescent="0.25">
      <c r="B52" t="s">
        <v>256</v>
      </c>
      <c r="C52" t="str" cm="1">
        <f t="array" ref="C52">IF(ISNUMBER(SEARCH("\",B52)),INDEX(_xlfn.TEXTSPLIT(B52,"\"),6),"")</f>
        <v>Profile 3</v>
      </c>
      <c r="D52" t="str" cm="1">
        <f t="array" ref="D52">IF(ISBLANK(B53),"",INDEX(_xlfn.TEXTSPLIT(B53,"    "),4))</f>
        <v>Mediq</v>
      </c>
      <c r="G52" t="s">
        <v>272</v>
      </c>
      <c r="H52" t="s">
        <v>294</v>
      </c>
      <c r="I52" t="str">
        <f t="shared" si="0"/>
        <v xml:space="preserve">ep </v>
      </c>
      <c r="J52" t="str">
        <f t="shared" si="1"/>
        <v xml:space="preserve">Edge pr. </v>
      </c>
      <c r="L52" t="str">
        <f t="shared" si="2"/>
        <v>tryrun('msedge.exe --profile-directory=""')</v>
      </c>
    </row>
    <row r="53" spans="2:12" x14ac:dyDescent="0.25">
      <c r="B53" t="s">
        <v>257</v>
      </c>
      <c r="G53" t="s">
        <v>272</v>
      </c>
      <c r="H53" t="s">
        <v>294</v>
      </c>
      <c r="I53" t="str">
        <f t="shared" si="0"/>
        <v xml:space="preserve">ep </v>
      </c>
      <c r="J53" t="str">
        <f t="shared" si="1"/>
        <v xml:space="preserve">Edge pr. </v>
      </c>
      <c r="L53" t="str">
        <f t="shared" si="2"/>
        <v>tryrun('msedge.exe --profile-directory=""')</v>
      </c>
    </row>
    <row r="54" spans="2:12" x14ac:dyDescent="0.25">
      <c r="G54" t="s">
        <v>272</v>
      </c>
      <c r="H54" t="s">
        <v>294</v>
      </c>
      <c r="I54" t="str">
        <f t="shared" si="0"/>
        <v xml:space="preserve">ep </v>
      </c>
      <c r="J54" t="str">
        <f t="shared" si="1"/>
        <v xml:space="preserve">Edge pr. </v>
      </c>
      <c r="L54" t="str">
        <f t="shared" si="2"/>
        <v>tryrun('msedge.exe --profile-directory=""')</v>
      </c>
    </row>
    <row r="55" spans="2:12" x14ac:dyDescent="0.25">
      <c r="B55" t="s">
        <v>258</v>
      </c>
      <c r="C55" t="str" cm="1">
        <f t="array" ref="C55">IF(ISNUMBER(SEARCH("\",B55)),INDEX(_xlfn.TEXTSPLIT(B55,"\"),6),"")</f>
        <v>Profile 4</v>
      </c>
      <c r="D55" t="str" cm="1">
        <f t="array" ref="D55">IF(ISBLANK(B56),"",INDEX(_xlfn.TEXTSPLIT(B56,"    "),4))</f>
        <v>Support vinci</v>
      </c>
      <c r="G55" t="s">
        <v>272</v>
      </c>
      <c r="H55" t="s">
        <v>294</v>
      </c>
      <c r="I55" t="str">
        <f t="shared" si="0"/>
        <v xml:space="preserve">ep </v>
      </c>
      <c r="J55" t="str">
        <f t="shared" si="1"/>
        <v xml:space="preserve">Edge pr. </v>
      </c>
      <c r="L55" t="str">
        <f t="shared" si="2"/>
        <v>tryrun('msedge.exe --profile-directory=""')</v>
      </c>
    </row>
    <row r="56" spans="2:12" x14ac:dyDescent="0.25">
      <c r="B56" t="s">
        <v>259</v>
      </c>
      <c r="G56" t="s">
        <v>272</v>
      </c>
      <c r="H56" t="s">
        <v>294</v>
      </c>
      <c r="I56" t="str">
        <f t="shared" si="0"/>
        <v xml:space="preserve">ep </v>
      </c>
      <c r="J56" t="str">
        <f t="shared" si="1"/>
        <v xml:space="preserve">Edge pr. </v>
      </c>
      <c r="L56" t="str">
        <f t="shared" si="2"/>
        <v>tryrun('msedge.exe --profile-directory=""')</v>
      </c>
    </row>
    <row r="57" spans="2:12" x14ac:dyDescent="0.25">
      <c r="G57" t="s">
        <v>272</v>
      </c>
      <c r="H57" t="s">
        <v>294</v>
      </c>
      <c r="I57" t="str">
        <f t="shared" si="0"/>
        <v xml:space="preserve">ep </v>
      </c>
      <c r="J57" t="str">
        <f t="shared" si="1"/>
        <v xml:space="preserve">Edge pr. </v>
      </c>
      <c r="L57" t="str">
        <f t="shared" si="2"/>
        <v>tryrun('msedge.exe --profile-directory=""')</v>
      </c>
    </row>
    <row r="58" spans="2:12" x14ac:dyDescent="0.25">
      <c r="B58" t="s">
        <v>260</v>
      </c>
      <c r="C58" t="str" cm="1">
        <f t="array" ref="C58">IF(ISNUMBER(SEARCH("\",B58)),INDEX(_xlfn.TEXTSPLIT(B58,"\"),6),"")</f>
        <v>Profile 5</v>
      </c>
      <c r="D58" t="str" cm="1">
        <f t="array" ref="D58">IF(ISBLANK(B59),"",INDEX(_xlfn.TEXTSPLIT(B59,"    "),4))</f>
        <v>Emergis</v>
      </c>
      <c r="G58" t="s">
        <v>272</v>
      </c>
      <c r="H58" t="s">
        <v>294</v>
      </c>
      <c r="I58" t="str">
        <f t="shared" si="0"/>
        <v xml:space="preserve">ep </v>
      </c>
      <c r="J58" t="str">
        <f t="shared" si="1"/>
        <v xml:space="preserve">Edge pr. </v>
      </c>
      <c r="L58" t="str">
        <f t="shared" si="2"/>
        <v>tryrun('msedge.exe --profile-directory=""')</v>
      </c>
    </row>
    <row r="59" spans="2:12" x14ac:dyDescent="0.25">
      <c r="B59" t="s">
        <v>261</v>
      </c>
      <c r="G59" t="s">
        <v>272</v>
      </c>
      <c r="H59" t="s">
        <v>294</v>
      </c>
      <c r="I59" t="str">
        <f t="shared" si="0"/>
        <v xml:space="preserve">ep </v>
      </c>
      <c r="J59" t="str">
        <f t="shared" si="1"/>
        <v xml:space="preserve">Edge pr. </v>
      </c>
      <c r="L59" t="str">
        <f t="shared" si="2"/>
        <v>tryrun('msedge.exe --profile-directory=""')</v>
      </c>
    </row>
    <row r="60" spans="2:12" x14ac:dyDescent="0.25">
      <c r="G60" t="s">
        <v>272</v>
      </c>
      <c r="H60" t="s">
        <v>294</v>
      </c>
      <c r="I60" t="str">
        <f t="shared" si="0"/>
        <v xml:space="preserve">ep </v>
      </c>
      <c r="J60" t="str">
        <f t="shared" si="1"/>
        <v xml:space="preserve">Edge pr. </v>
      </c>
      <c r="L60" t="str">
        <f t="shared" si="2"/>
        <v>tryrun('msedge.exe --profile-directory=""')</v>
      </c>
    </row>
    <row r="61" spans="2:12" x14ac:dyDescent="0.25">
      <c r="B61" t="s">
        <v>262</v>
      </c>
      <c r="C61" t="str" cm="1">
        <f t="array" ref="C61">IF(ISNUMBER(SEARCH("\",B61)),INDEX(_xlfn.TEXTSPLIT(B61,"\"),6),"")</f>
        <v>Profile 6</v>
      </c>
      <c r="D61" t="str" cm="1">
        <f t="array" ref="D61">IF(ISBLANK(B62),"",INDEX(_xlfn.TEXTSPLIT(B62,"    "),4))</f>
        <v>Burg</v>
      </c>
      <c r="G61" t="s">
        <v>272</v>
      </c>
      <c r="H61" t="s">
        <v>294</v>
      </c>
      <c r="I61" t="str">
        <f t="shared" si="0"/>
        <v xml:space="preserve">ep </v>
      </c>
      <c r="J61" t="str">
        <f t="shared" si="1"/>
        <v xml:space="preserve">Edge pr. </v>
      </c>
      <c r="L61" t="str">
        <f t="shared" si="2"/>
        <v>tryrun('msedge.exe --profile-directory=""')</v>
      </c>
    </row>
    <row r="62" spans="2:12" x14ac:dyDescent="0.25">
      <c r="B62" t="s">
        <v>263</v>
      </c>
      <c r="G62" t="s">
        <v>272</v>
      </c>
      <c r="H62" t="s">
        <v>294</v>
      </c>
      <c r="I62" t="str">
        <f t="shared" si="0"/>
        <v xml:space="preserve">ep </v>
      </c>
      <c r="J62" t="str">
        <f t="shared" si="1"/>
        <v xml:space="preserve">Edge pr. </v>
      </c>
      <c r="L62" t="str">
        <f t="shared" si="2"/>
        <v>tryrun('msedge.exe --profile-directory=""')</v>
      </c>
    </row>
    <row r="63" spans="2:12" x14ac:dyDescent="0.25">
      <c r="G63" t="s">
        <v>272</v>
      </c>
      <c r="H63" t="s">
        <v>294</v>
      </c>
      <c r="I63" t="str">
        <f t="shared" si="0"/>
        <v xml:space="preserve">ep </v>
      </c>
      <c r="J63" t="str">
        <f t="shared" si="1"/>
        <v xml:space="preserve">Edge pr. </v>
      </c>
      <c r="L63" t="str">
        <f t="shared" si="2"/>
        <v>tryrun('msedge.exe --profile-directory=""')</v>
      </c>
    </row>
    <row r="64" spans="2:12" x14ac:dyDescent="0.25">
      <c r="B64" t="s">
        <v>264</v>
      </c>
      <c r="C64" t="str" cm="1">
        <f t="array" ref="C64">IF(ISNUMBER(SEARCH("\",B64)),INDEX(_xlfn.TEXTSPLIT(B64,"\"),6),"")</f>
        <v>Profile 7</v>
      </c>
      <c r="D64" t="str" cm="1">
        <f t="array" ref="D64">IF(ISBLANK(B65),"",INDEX(_xlfn.TEXTSPLIT(B65,"    "),4))</f>
        <v>ODF</v>
      </c>
      <c r="G64" t="s">
        <v>272</v>
      </c>
      <c r="H64" t="s">
        <v>294</v>
      </c>
      <c r="I64" t="str">
        <f t="shared" si="0"/>
        <v xml:space="preserve">ep </v>
      </c>
      <c r="J64" t="str">
        <f t="shared" si="1"/>
        <v xml:space="preserve">Edge pr. </v>
      </c>
      <c r="L64" t="str">
        <f t="shared" si="2"/>
        <v>tryrun('msedge.exe --profile-directory=""')</v>
      </c>
    </row>
    <row r="65" spans="2:12" x14ac:dyDescent="0.25">
      <c r="B65" t="s">
        <v>265</v>
      </c>
      <c r="G65" t="s">
        <v>272</v>
      </c>
      <c r="H65" t="s">
        <v>294</v>
      </c>
      <c r="I65" t="str">
        <f t="shared" si="0"/>
        <v xml:space="preserve">ep </v>
      </c>
      <c r="J65" t="str">
        <f t="shared" si="1"/>
        <v xml:space="preserve">Edge pr. </v>
      </c>
      <c r="L65" t="str">
        <f t="shared" si="2"/>
        <v>tryrun('msedge.exe --profile-directory=""')</v>
      </c>
    </row>
    <row r="66" spans="2:12" x14ac:dyDescent="0.25">
      <c r="G66" t="s">
        <v>272</v>
      </c>
      <c r="H66" t="s">
        <v>294</v>
      </c>
      <c r="I66" t="str">
        <f t="shared" si="0"/>
        <v xml:space="preserve">ep </v>
      </c>
      <c r="J66" t="str">
        <f t="shared" si="1"/>
        <v xml:space="preserve">Edge pr. </v>
      </c>
      <c r="L66" t="str">
        <f t="shared" si="2"/>
        <v>tryrun('msedge.exe --profile-directory=""')</v>
      </c>
    </row>
    <row r="67" spans="2:12" x14ac:dyDescent="0.25">
      <c r="B67" t="s">
        <v>266</v>
      </c>
      <c r="C67" t="str" cm="1">
        <f t="array" ref="C67">IF(ISNUMBER(SEARCH("\",B67)),INDEX(_xlfn.TEXTSPLIT(B67,"\"),6),"")</f>
        <v>Profile 8</v>
      </c>
      <c r="D67" t="str" cm="1">
        <f t="array" ref="D67">IF(ISBLANK(B68),"",INDEX(_xlfn.TEXTSPLIT(B68,"    "),4))</f>
        <v>Kiwa</v>
      </c>
      <c r="G67" t="s">
        <v>272</v>
      </c>
      <c r="H67" t="s">
        <v>294</v>
      </c>
      <c r="I67" t="str">
        <f t="shared" si="0"/>
        <v xml:space="preserve">ep </v>
      </c>
      <c r="J67" t="str">
        <f t="shared" si="1"/>
        <v xml:space="preserve">Edge pr. </v>
      </c>
      <c r="L67" t="str">
        <f t="shared" si="2"/>
        <v>tryrun('msedge.exe --profile-directory=""')</v>
      </c>
    </row>
    <row r="68" spans="2:12" x14ac:dyDescent="0.25">
      <c r="B68" t="s">
        <v>267</v>
      </c>
      <c r="G68" t="s">
        <v>272</v>
      </c>
      <c r="H68" t="s">
        <v>294</v>
      </c>
      <c r="I68" t="str">
        <f t="shared" si="0"/>
        <v xml:space="preserve">ep </v>
      </c>
      <c r="J68" t="str">
        <f t="shared" si="1"/>
        <v xml:space="preserve">Edge pr. </v>
      </c>
      <c r="L68" t="str">
        <f t="shared" si="2"/>
        <v>tryrun('msedge.exe --profile-directory=""')</v>
      </c>
    </row>
    <row r="69" spans="2:12" x14ac:dyDescent="0.25">
      <c r="G69" t="s">
        <v>272</v>
      </c>
      <c r="H69" t="s">
        <v>294</v>
      </c>
      <c r="I69" t="str">
        <f t="shared" ref="I69:I132" si="3">"ep " &amp; LOWER(LEFT(F69,3))</f>
        <v xml:space="preserve">ep </v>
      </c>
      <c r="J69" t="str">
        <f t="shared" ref="J69:J132" si="4">"Edge pr. " &amp;F69</f>
        <v xml:space="preserve">Edge pr. </v>
      </c>
      <c r="L69" t="str">
        <f t="shared" ref="L69:L132" si="5">"tryrun('msedge.exe --profile-directory="""&amp;E69&amp;"""')"</f>
        <v>tryrun('msedge.exe --profile-directory=""')</v>
      </c>
    </row>
    <row r="70" spans="2:12" x14ac:dyDescent="0.25">
      <c r="B70" t="s">
        <v>268</v>
      </c>
      <c r="C70" t="str" cm="1">
        <f t="array" ref="C70">IF(ISNUMBER(SEARCH("\",B70)),INDEX(_xlfn.TEXTSPLIT(B70,"\"),6),"")</f>
        <v/>
      </c>
      <c r="D70" t="str" cm="1">
        <f t="array" ref="D70">IF(ISBLANK(B71),"",INDEX(_xlfn.TEXTSPLIT(B71,"    "),4))</f>
        <v/>
      </c>
      <c r="G70" t="s">
        <v>272</v>
      </c>
      <c r="H70" t="s">
        <v>294</v>
      </c>
      <c r="I70" t="str">
        <f t="shared" si="3"/>
        <v xml:space="preserve">ep </v>
      </c>
      <c r="J70" t="str">
        <f t="shared" si="4"/>
        <v xml:space="preserve">Edge pr. </v>
      </c>
      <c r="L70" t="str">
        <f t="shared" si="5"/>
        <v>tryrun('msedge.exe --profile-directory=""')</v>
      </c>
    </row>
    <row r="71" spans="2:12" x14ac:dyDescent="0.25">
      <c r="G71" t="s">
        <v>272</v>
      </c>
      <c r="H71" t="s">
        <v>294</v>
      </c>
      <c r="I71" t="str">
        <f t="shared" si="3"/>
        <v xml:space="preserve">ep </v>
      </c>
      <c r="J71" t="str">
        <f t="shared" si="4"/>
        <v xml:space="preserve">Edge pr. </v>
      </c>
      <c r="L71" t="str">
        <f t="shared" si="5"/>
        <v>tryrun('msedge.exe --profile-directory=""')</v>
      </c>
    </row>
    <row r="72" spans="2:12" x14ac:dyDescent="0.25">
      <c r="G72" t="s">
        <v>272</v>
      </c>
      <c r="H72" t="s">
        <v>294</v>
      </c>
      <c r="I72" t="str">
        <f t="shared" si="3"/>
        <v xml:space="preserve">ep </v>
      </c>
      <c r="J72" t="str">
        <f t="shared" si="4"/>
        <v xml:space="preserve">Edge pr. </v>
      </c>
      <c r="L72" t="str">
        <f t="shared" si="5"/>
        <v>tryrun('msedge.exe --profile-directory=""')</v>
      </c>
    </row>
    <row r="73" spans="2:12" x14ac:dyDescent="0.25">
      <c r="C73" t="str" cm="1">
        <f t="array" ref="C73">IF(ISNUMBER(SEARCH("\",B73)),INDEX(_xlfn.TEXTSPLIT(B73,"\"),6),"")</f>
        <v/>
      </c>
      <c r="D73" t="str" cm="1">
        <f t="array" ref="D73">IF(ISBLANK(B74),"",INDEX(_xlfn.TEXTSPLIT(B74,"    "),4))</f>
        <v/>
      </c>
      <c r="G73" t="s">
        <v>272</v>
      </c>
      <c r="H73" t="s">
        <v>294</v>
      </c>
      <c r="I73" t="str">
        <f t="shared" si="3"/>
        <v xml:space="preserve">ep </v>
      </c>
      <c r="J73" t="str">
        <f t="shared" si="4"/>
        <v xml:space="preserve">Edge pr. </v>
      </c>
      <c r="L73" t="str">
        <f t="shared" si="5"/>
        <v>tryrun('msedge.exe --profile-directory=""')</v>
      </c>
    </row>
    <row r="74" spans="2:12" x14ac:dyDescent="0.25">
      <c r="G74" t="s">
        <v>272</v>
      </c>
      <c r="H74" t="s">
        <v>294</v>
      </c>
      <c r="I74" t="str">
        <f t="shared" si="3"/>
        <v xml:space="preserve">ep </v>
      </c>
      <c r="J74" t="str">
        <f t="shared" si="4"/>
        <v xml:space="preserve">Edge pr. </v>
      </c>
      <c r="L74" t="str">
        <f t="shared" si="5"/>
        <v>tryrun('msedge.exe --profile-directory=""')</v>
      </c>
    </row>
    <row r="75" spans="2:12" x14ac:dyDescent="0.25">
      <c r="G75" t="s">
        <v>272</v>
      </c>
      <c r="H75" t="s">
        <v>294</v>
      </c>
      <c r="I75" t="str">
        <f t="shared" si="3"/>
        <v xml:space="preserve">ep </v>
      </c>
      <c r="J75" t="str">
        <f t="shared" si="4"/>
        <v xml:space="preserve">Edge pr. </v>
      </c>
      <c r="L75" t="str">
        <f t="shared" si="5"/>
        <v>tryrun('msedge.exe --profile-directory=""')</v>
      </c>
    </row>
    <row r="76" spans="2:12" x14ac:dyDescent="0.25">
      <c r="C76" t="str" cm="1">
        <f t="array" ref="C76">IF(ISNUMBER(SEARCH("\",B76)),INDEX(_xlfn.TEXTSPLIT(B76,"\"),6),"")</f>
        <v/>
      </c>
      <c r="D76" t="str" cm="1">
        <f t="array" ref="D76">IF(ISBLANK(B77),"",INDEX(_xlfn.TEXTSPLIT(B77,"    "),4))</f>
        <v/>
      </c>
      <c r="G76" t="s">
        <v>272</v>
      </c>
      <c r="H76" t="s">
        <v>294</v>
      </c>
      <c r="I76" t="str">
        <f t="shared" si="3"/>
        <v xml:space="preserve">ep </v>
      </c>
      <c r="J76" t="str">
        <f t="shared" si="4"/>
        <v xml:space="preserve">Edge pr. </v>
      </c>
      <c r="L76" t="str">
        <f t="shared" si="5"/>
        <v>tryrun('msedge.exe --profile-directory=""')</v>
      </c>
    </row>
    <row r="77" spans="2:12" x14ac:dyDescent="0.25">
      <c r="G77" t="s">
        <v>272</v>
      </c>
      <c r="H77" t="s">
        <v>294</v>
      </c>
      <c r="I77" t="str">
        <f t="shared" si="3"/>
        <v xml:space="preserve">ep </v>
      </c>
      <c r="J77" t="str">
        <f t="shared" si="4"/>
        <v xml:space="preserve">Edge pr. </v>
      </c>
      <c r="L77" t="str">
        <f t="shared" si="5"/>
        <v>tryrun('msedge.exe --profile-directory=""')</v>
      </c>
    </row>
    <row r="78" spans="2:12" x14ac:dyDescent="0.25">
      <c r="G78" t="s">
        <v>272</v>
      </c>
      <c r="H78" t="s">
        <v>294</v>
      </c>
      <c r="I78" t="str">
        <f t="shared" si="3"/>
        <v xml:space="preserve">ep </v>
      </c>
      <c r="J78" t="str">
        <f t="shared" si="4"/>
        <v xml:space="preserve">Edge pr. </v>
      </c>
      <c r="L78" t="str">
        <f t="shared" si="5"/>
        <v>tryrun('msedge.exe --profile-directory=""')</v>
      </c>
    </row>
    <row r="79" spans="2:12" x14ac:dyDescent="0.25">
      <c r="C79" t="str" cm="1">
        <f t="array" ref="C79">IF(ISNUMBER(SEARCH("\",B79)),INDEX(_xlfn.TEXTSPLIT(B79,"\"),6),"")</f>
        <v/>
      </c>
      <c r="D79" t="str" cm="1">
        <f t="array" ref="D79">IF(ISBLANK(B80),"",INDEX(_xlfn.TEXTSPLIT(B80,"    "),4))</f>
        <v/>
      </c>
      <c r="G79" t="s">
        <v>272</v>
      </c>
      <c r="H79" t="s">
        <v>294</v>
      </c>
      <c r="I79" t="str">
        <f t="shared" si="3"/>
        <v xml:space="preserve">ep </v>
      </c>
      <c r="J79" t="str">
        <f t="shared" si="4"/>
        <v xml:space="preserve">Edge pr. </v>
      </c>
      <c r="L79" t="str">
        <f t="shared" si="5"/>
        <v>tryrun('msedge.exe --profile-directory=""')</v>
      </c>
    </row>
    <row r="80" spans="2:12" x14ac:dyDescent="0.25">
      <c r="G80" t="s">
        <v>272</v>
      </c>
      <c r="H80" t="s">
        <v>294</v>
      </c>
      <c r="I80" t="str">
        <f t="shared" si="3"/>
        <v xml:space="preserve">ep </v>
      </c>
      <c r="J80" t="str">
        <f t="shared" si="4"/>
        <v xml:space="preserve">Edge pr. </v>
      </c>
      <c r="L80" t="str">
        <f t="shared" si="5"/>
        <v>tryrun('msedge.exe --profile-directory=""')</v>
      </c>
    </row>
    <row r="81" spans="3:12" x14ac:dyDescent="0.25">
      <c r="G81" t="s">
        <v>272</v>
      </c>
      <c r="H81" t="s">
        <v>294</v>
      </c>
      <c r="I81" t="str">
        <f t="shared" si="3"/>
        <v xml:space="preserve">ep </v>
      </c>
      <c r="J81" t="str">
        <f t="shared" si="4"/>
        <v xml:space="preserve">Edge pr. </v>
      </c>
      <c r="L81" t="str">
        <f t="shared" si="5"/>
        <v>tryrun('msedge.exe --profile-directory=""')</v>
      </c>
    </row>
    <row r="82" spans="3:12" x14ac:dyDescent="0.25">
      <c r="C82" t="str" cm="1">
        <f t="array" ref="C82">IF(ISNUMBER(SEARCH("\",B82)),INDEX(_xlfn.TEXTSPLIT(B82,"\"),6),"")</f>
        <v/>
      </c>
      <c r="D82" t="str" cm="1">
        <f t="array" ref="D82">IF(ISBLANK(B83),"",INDEX(_xlfn.TEXTSPLIT(B83,"    "),4))</f>
        <v/>
      </c>
      <c r="G82" t="s">
        <v>272</v>
      </c>
      <c r="H82" t="s">
        <v>294</v>
      </c>
      <c r="I82" t="str">
        <f t="shared" si="3"/>
        <v xml:space="preserve">ep </v>
      </c>
      <c r="J82" t="str">
        <f t="shared" si="4"/>
        <v xml:space="preserve">Edge pr. </v>
      </c>
      <c r="L82" t="str">
        <f t="shared" si="5"/>
        <v>tryrun('msedge.exe --profile-directory=""')</v>
      </c>
    </row>
    <row r="83" spans="3:12" x14ac:dyDescent="0.25">
      <c r="G83" t="s">
        <v>272</v>
      </c>
      <c r="H83" t="s">
        <v>294</v>
      </c>
      <c r="I83" t="str">
        <f t="shared" si="3"/>
        <v xml:space="preserve">ep </v>
      </c>
      <c r="J83" t="str">
        <f t="shared" si="4"/>
        <v xml:space="preserve">Edge pr. </v>
      </c>
      <c r="L83" t="str">
        <f t="shared" si="5"/>
        <v>tryrun('msedge.exe --profile-directory=""')</v>
      </c>
    </row>
    <row r="84" spans="3:12" x14ac:dyDescent="0.25">
      <c r="G84" t="s">
        <v>272</v>
      </c>
      <c r="H84" t="s">
        <v>294</v>
      </c>
      <c r="I84" t="str">
        <f t="shared" si="3"/>
        <v xml:space="preserve">ep </v>
      </c>
      <c r="J84" t="str">
        <f t="shared" si="4"/>
        <v xml:space="preserve">Edge pr. </v>
      </c>
      <c r="L84" t="str">
        <f t="shared" si="5"/>
        <v>tryrun('msedge.exe --profile-directory=""')</v>
      </c>
    </row>
    <row r="85" spans="3:12" x14ac:dyDescent="0.25">
      <c r="C85" t="str" cm="1">
        <f t="array" ref="C85">IF(ISNUMBER(SEARCH("\",B85)),INDEX(_xlfn.TEXTSPLIT(B85,"\"),6),"")</f>
        <v/>
      </c>
      <c r="D85" t="str" cm="1">
        <f t="array" ref="D85">IF(ISBLANK(B86),"",INDEX(_xlfn.TEXTSPLIT(B86,"    "),4))</f>
        <v/>
      </c>
      <c r="G85" t="s">
        <v>272</v>
      </c>
      <c r="H85" t="s">
        <v>294</v>
      </c>
      <c r="I85" t="str">
        <f t="shared" si="3"/>
        <v xml:space="preserve">ep </v>
      </c>
      <c r="J85" t="str">
        <f t="shared" si="4"/>
        <v xml:space="preserve">Edge pr. </v>
      </c>
      <c r="L85" t="str">
        <f t="shared" si="5"/>
        <v>tryrun('msedge.exe --profile-directory=""')</v>
      </c>
    </row>
    <row r="86" spans="3:12" x14ac:dyDescent="0.25">
      <c r="G86" t="s">
        <v>272</v>
      </c>
      <c r="H86" t="s">
        <v>294</v>
      </c>
      <c r="I86" t="str">
        <f t="shared" si="3"/>
        <v xml:space="preserve">ep </v>
      </c>
      <c r="J86" t="str">
        <f t="shared" si="4"/>
        <v xml:space="preserve">Edge pr. </v>
      </c>
      <c r="L86" t="str">
        <f t="shared" si="5"/>
        <v>tryrun('msedge.exe --profile-directory=""')</v>
      </c>
    </row>
    <row r="87" spans="3:12" x14ac:dyDescent="0.25">
      <c r="G87" t="s">
        <v>272</v>
      </c>
      <c r="H87" t="s">
        <v>294</v>
      </c>
      <c r="I87" t="str">
        <f t="shared" si="3"/>
        <v xml:space="preserve">ep </v>
      </c>
      <c r="J87" t="str">
        <f t="shared" si="4"/>
        <v xml:space="preserve">Edge pr. </v>
      </c>
      <c r="L87" t="str">
        <f t="shared" si="5"/>
        <v>tryrun('msedge.exe --profile-directory=""')</v>
      </c>
    </row>
    <row r="88" spans="3:12" x14ac:dyDescent="0.25">
      <c r="C88" t="str" cm="1">
        <f t="array" ref="C88">IF(ISNUMBER(SEARCH("\",B88)),INDEX(_xlfn.TEXTSPLIT(B88,"\"),6),"")</f>
        <v/>
      </c>
      <c r="D88" t="str" cm="1">
        <f t="array" ref="D88">IF(ISBLANK(B89),"",INDEX(_xlfn.TEXTSPLIT(B89,"    "),4))</f>
        <v/>
      </c>
      <c r="G88" t="s">
        <v>272</v>
      </c>
      <c r="H88" t="s">
        <v>294</v>
      </c>
      <c r="I88" t="str">
        <f t="shared" si="3"/>
        <v xml:space="preserve">ep </v>
      </c>
      <c r="J88" t="str">
        <f t="shared" si="4"/>
        <v xml:space="preserve">Edge pr. </v>
      </c>
      <c r="L88" t="str">
        <f t="shared" si="5"/>
        <v>tryrun('msedge.exe --profile-directory=""')</v>
      </c>
    </row>
    <row r="89" spans="3:12" x14ac:dyDescent="0.25">
      <c r="G89" t="s">
        <v>272</v>
      </c>
      <c r="H89" t="s">
        <v>294</v>
      </c>
      <c r="I89" t="str">
        <f t="shared" si="3"/>
        <v xml:space="preserve">ep </v>
      </c>
      <c r="J89" t="str">
        <f t="shared" si="4"/>
        <v xml:space="preserve">Edge pr. </v>
      </c>
      <c r="L89" t="str">
        <f t="shared" si="5"/>
        <v>tryrun('msedge.exe --profile-directory=""')</v>
      </c>
    </row>
    <row r="90" spans="3:12" x14ac:dyDescent="0.25">
      <c r="G90" t="s">
        <v>272</v>
      </c>
      <c r="H90" t="s">
        <v>294</v>
      </c>
      <c r="I90" t="str">
        <f t="shared" si="3"/>
        <v xml:space="preserve">ep </v>
      </c>
      <c r="J90" t="str">
        <f t="shared" si="4"/>
        <v xml:space="preserve">Edge pr. </v>
      </c>
      <c r="L90" t="str">
        <f t="shared" si="5"/>
        <v>tryrun('msedge.exe --profile-directory=""')</v>
      </c>
    </row>
    <row r="91" spans="3:12" x14ac:dyDescent="0.25">
      <c r="C91" t="str" cm="1">
        <f t="array" ref="C91">IF(ISNUMBER(SEARCH("\",B91)),INDEX(_xlfn.TEXTSPLIT(B91,"\"),6),"")</f>
        <v/>
      </c>
      <c r="D91" t="str" cm="1">
        <f t="array" ref="D91">IF(ISBLANK(B92),"",INDEX(_xlfn.TEXTSPLIT(B92,"    "),4))</f>
        <v/>
      </c>
      <c r="G91" t="s">
        <v>272</v>
      </c>
      <c r="H91" t="s">
        <v>294</v>
      </c>
      <c r="I91" t="str">
        <f t="shared" si="3"/>
        <v xml:space="preserve">ep </v>
      </c>
      <c r="J91" t="str">
        <f t="shared" si="4"/>
        <v xml:space="preserve">Edge pr. </v>
      </c>
      <c r="L91" t="str">
        <f t="shared" si="5"/>
        <v>tryrun('msedge.exe --profile-directory=""')</v>
      </c>
    </row>
    <row r="92" spans="3:12" x14ac:dyDescent="0.25">
      <c r="G92" t="s">
        <v>272</v>
      </c>
      <c r="H92" t="s">
        <v>294</v>
      </c>
      <c r="I92" t="str">
        <f t="shared" si="3"/>
        <v xml:space="preserve">ep </v>
      </c>
      <c r="J92" t="str">
        <f t="shared" si="4"/>
        <v xml:space="preserve">Edge pr. </v>
      </c>
      <c r="L92" t="str">
        <f t="shared" si="5"/>
        <v>tryrun('msedge.exe --profile-directory=""')</v>
      </c>
    </row>
    <row r="93" spans="3:12" x14ac:dyDescent="0.25">
      <c r="G93" t="s">
        <v>272</v>
      </c>
      <c r="H93" t="s">
        <v>294</v>
      </c>
      <c r="I93" t="str">
        <f t="shared" si="3"/>
        <v xml:space="preserve">ep </v>
      </c>
      <c r="J93" t="str">
        <f t="shared" si="4"/>
        <v xml:space="preserve">Edge pr. </v>
      </c>
      <c r="L93" t="str">
        <f t="shared" si="5"/>
        <v>tryrun('msedge.exe --profile-directory=""')</v>
      </c>
    </row>
    <row r="94" spans="3:12" x14ac:dyDescent="0.25">
      <c r="C94" t="str" cm="1">
        <f t="array" ref="C94">IF(ISNUMBER(SEARCH("\",B94)),INDEX(_xlfn.TEXTSPLIT(B94,"\"),6),"")</f>
        <v/>
      </c>
      <c r="D94" t="str" cm="1">
        <f t="array" ref="D94">IF(ISBLANK(B95),"",INDEX(_xlfn.TEXTSPLIT(B95,"    "),4))</f>
        <v/>
      </c>
      <c r="G94" t="s">
        <v>272</v>
      </c>
      <c r="H94" t="s">
        <v>294</v>
      </c>
      <c r="I94" t="str">
        <f t="shared" si="3"/>
        <v xml:space="preserve">ep </v>
      </c>
      <c r="J94" t="str">
        <f t="shared" si="4"/>
        <v xml:space="preserve">Edge pr. </v>
      </c>
      <c r="L94" t="str">
        <f t="shared" si="5"/>
        <v>tryrun('msedge.exe --profile-directory=""')</v>
      </c>
    </row>
    <row r="95" spans="3:12" x14ac:dyDescent="0.25">
      <c r="G95" t="s">
        <v>272</v>
      </c>
      <c r="H95" t="s">
        <v>294</v>
      </c>
      <c r="I95" t="str">
        <f t="shared" si="3"/>
        <v xml:space="preserve">ep </v>
      </c>
      <c r="J95" t="str">
        <f t="shared" si="4"/>
        <v xml:space="preserve">Edge pr. </v>
      </c>
      <c r="L95" t="str">
        <f t="shared" si="5"/>
        <v>tryrun('msedge.exe --profile-directory=""')</v>
      </c>
    </row>
    <row r="96" spans="3:12" x14ac:dyDescent="0.25">
      <c r="G96" t="s">
        <v>272</v>
      </c>
      <c r="H96" t="s">
        <v>294</v>
      </c>
      <c r="I96" t="str">
        <f t="shared" si="3"/>
        <v xml:space="preserve">ep </v>
      </c>
      <c r="J96" t="str">
        <f t="shared" si="4"/>
        <v xml:space="preserve">Edge pr. </v>
      </c>
      <c r="L96" t="str">
        <f t="shared" si="5"/>
        <v>tryrun('msedge.exe --profile-directory=""')</v>
      </c>
    </row>
    <row r="97" spans="3:12" x14ac:dyDescent="0.25">
      <c r="C97" t="str" cm="1">
        <f t="array" ref="C97">IF(ISNUMBER(SEARCH("\",B97)),INDEX(_xlfn.TEXTSPLIT(B97,"\"),6),"")</f>
        <v/>
      </c>
      <c r="D97" t="str" cm="1">
        <f t="array" ref="D97">IF(ISBLANK(B98),"",INDEX(_xlfn.TEXTSPLIT(B98,"    "),4))</f>
        <v/>
      </c>
      <c r="G97" t="s">
        <v>272</v>
      </c>
      <c r="H97" t="s">
        <v>294</v>
      </c>
      <c r="I97" t="str">
        <f t="shared" si="3"/>
        <v xml:space="preserve">ep </v>
      </c>
      <c r="J97" t="str">
        <f t="shared" si="4"/>
        <v xml:space="preserve">Edge pr. </v>
      </c>
      <c r="L97" t="str">
        <f t="shared" si="5"/>
        <v>tryrun('msedge.exe --profile-directory=""')</v>
      </c>
    </row>
    <row r="98" spans="3:12" x14ac:dyDescent="0.25">
      <c r="G98" t="s">
        <v>272</v>
      </c>
      <c r="H98" t="s">
        <v>294</v>
      </c>
      <c r="I98" t="str">
        <f t="shared" si="3"/>
        <v xml:space="preserve">ep </v>
      </c>
      <c r="J98" t="str">
        <f t="shared" si="4"/>
        <v xml:space="preserve">Edge pr. </v>
      </c>
      <c r="L98" t="str">
        <f t="shared" si="5"/>
        <v>tryrun('msedge.exe --profile-directory=""')</v>
      </c>
    </row>
    <row r="99" spans="3:12" x14ac:dyDescent="0.25">
      <c r="G99" t="s">
        <v>272</v>
      </c>
      <c r="H99" t="s">
        <v>294</v>
      </c>
      <c r="I99" t="str">
        <f t="shared" si="3"/>
        <v xml:space="preserve">ep </v>
      </c>
      <c r="J99" t="str">
        <f t="shared" si="4"/>
        <v xml:space="preserve">Edge pr. </v>
      </c>
      <c r="L99" t="str">
        <f t="shared" si="5"/>
        <v>tryrun('msedge.exe --profile-directory=""')</v>
      </c>
    </row>
    <row r="100" spans="3:12" x14ac:dyDescent="0.25">
      <c r="C100" t="str" cm="1">
        <f t="array" ref="C100">IF(ISNUMBER(SEARCH("\",B100)),INDEX(_xlfn.TEXTSPLIT(B100,"\"),6),"")</f>
        <v/>
      </c>
      <c r="D100" t="str" cm="1">
        <f t="array" ref="D100">IF(ISBLANK(B101),"",INDEX(_xlfn.TEXTSPLIT(B101,"    "),4))</f>
        <v/>
      </c>
      <c r="G100" t="s">
        <v>272</v>
      </c>
      <c r="H100" t="s">
        <v>294</v>
      </c>
      <c r="I100" t="str">
        <f t="shared" si="3"/>
        <v xml:space="preserve">ep </v>
      </c>
      <c r="J100" t="str">
        <f t="shared" si="4"/>
        <v xml:space="preserve">Edge pr. </v>
      </c>
      <c r="L100" t="str">
        <f t="shared" si="5"/>
        <v>tryrun('msedge.exe --profile-directory=""')</v>
      </c>
    </row>
    <row r="101" spans="3:12" x14ac:dyDescent="0.25">
      <c r="G101" t="s">
        <v>272</v>
      </c>
      <c r="H101" t="s">
        <v>294</v>
      </c>
      <c r="I101" t="str">
        <f t="shared" si="3"/>
        <v xml:space="preserve">ep </v>
      </c>
      <c r="J101" t="str">
        <f t="shared" si="4"/>
        <v xml:space="preserve">Edge pr. </v>
      </c>
      <c r="L101" t="str">
        <f t="shared" si="5"/>
        <v>tryrun('msedge.exe --profile-directory=""')</v>
      </c>
    </row>
    <row r="102" spans="3:12" x14ac:dyDescent="0.25">
      <c r="G102" t="s">
        <v>272</v>
      </c>
      <c r="H102" t="s">
        <v>294</v>
      </c>
      <c r="I102" t="str">
        <f t="shared" si="3"/>
        <v xml:space="preserve">ep </v>
      </c>
      <c r="J102" t="str">
        <f t="shared" si="4"/>
        <v xml:space="preserve">Edge pr. </v>
      </c>
      <c r="L102" t="str">
        <f t="shared" si="5"/>
        <v>tryrun('msedge.exe --profile-directory=""')</v>
      </c>
    </row>
    <row r="103" spans="3:12" x14ac:dyDescent="0.25">
      <c r="C103" t="str" cm="1">
        <f t="array" ref="C103">IF(ISNUMBER(SEARCH("\",B103)),INDEX(_xlfn.TEXTSPLIT(B103,"\"),6),"")</f>
        <v/>
      </c>
      <c r="D103" t="str" cm="1">
        <f t="array" ref="D103">IF(ISBLANK(B104),"",INDEX(_xlfn.TEXTSPLIT(B104,"    "),4))</f>
        <v/>
      </c>
      <c r="G103" t="s">
        <v>272</v>
      </c>
      <c r="H103" t="s">
        <v>294</v>
      </c>
      <c r="I103" t="str">
        <f t="shared" si="3"/>
        <v xml:space="preserve">ep </v>
      </c>
      <c r="J103" t="str">
        <f t="shared" si="4"/>
        <v xml:space="preserve">Edge pr. </v>
      </c>
      <c r="L103" t="str">
        <f t="shared" si="5"/>
        <v>tryrun('msedge.exe --profile-directory=""')</v>
      </c>
    </row>
    <row r="104" spans="3:12" x14ac:dyDescent="0.25">
      <c r="G104" t="s">
        <v>272</v>
      </c>
      <c r="H104" t="s">
        <v>294</v>
      </c>
      <c r="I104" t="str">
        <f t="shared" si="3"/>
        <v xml:space="preserve">ep </v>
      </c>
      <c r="J104" t="str">
        <f t="shared" si="4"/>
        <v xml:space="preserve">Edge pr. </v>
      </c>
      <c r="L104" t="str">
        <f t="shared" si="5"/>
        <v>tryrun('msedge.exe --profile-directory=""')</v>
      </c>
    </row>
    <row r="105" spans="3:12" x14ac:dyDescent="0.25">
      <c r="G105" t="s">
        <v>272</v>
      </c>
      <c r="H105" t="s">
        <v>294</v>
      </c>
      <c r="I105" t="str">
        <f t="shared" si="3"/>
        <v xml:space="preserve">ep </v>
      </c>
      <c r="J105" t="str">
        <f t="shared" si="4"/>
        <v xml:space="preserve">Edge pr. </v>
      </c>
      <c r="L105" t="str">
        <f t="shared" si="5"/>
        <v>tryrun('msedge.exe --profile-directory=""')</v>
      </c>
    </row>
    <row r="106" spans="3:12" x14ac:dyDescent="0.25">
      <c r="C106" t="str" cm="1">
        <f t="array" ref="C106">IF(ISNUMBER(SEARCH("\",B106)),INDEX(_xlfn.TEXTSPLIT(B106,"\"),6),"")</f>
        <v/>
      </c>
      <c r="D106" t="str" cm="1">
        <f t="array" ref="D106">IF(ISBLANK(B107),"",INDEX(_xlfn.TEXTSPLIT(B107,"    "),4))</f>
        <v/>
      </c>
      <c r="G106" t="s">
        <v>272</v>
      </c>
      <c r="H106" t="s">
        <v>294</v>
      </c>
      <c r="I106" t="str">
        <f t="shared" si="3"/>
        <v xml:space="preserve">ep </v>
      </c>
      <c r="J106" t="str">
        <f t="shared" si="4"/>
        <v xml:space="preserve">Edge pr. </v>
      </c>
      <c r="L106" t="str">
        <f t="shared" si="5"/>
        <v>tryrun('msedge.exe --profile-directory=""')</v>
      </c>
    </row>
    <row r="107" spans="3:12" x14ac:dyDescent="0.25">
      <c r="G107" t="s">
        <v>272</v>
      </c>
      <c r="H107" t="s">
        <v>294</v>
      </c>
      <c r="I107" t="str">
        <f t="shared" si="3"/>
        <v xml:space="preserve">ep </v>
      </c>
      <c r="J107" t="str">
        <f t="shared" si="4"/>
        <v xml:space="preserve">Edge pr. </v>
      </c>
      <c r="L107" t="str">
        <f t="shared" si="5"/>
        <v>tryrun('msedge.exe --profile-directory=""')</v>
      </c>
    </row>
    <row r="108" spans="3:12" x14ac:dyDescent="0.25">
      <c r="G108" t="s">
        <v>272</v>
      </c>
      <c r="H108" t="s">
        <v>294</v>
      </c>
      <c r="I108" t="str">
        <f t="shared" si="3"/>
        <v xml:space="preserve">ep </v>
      </c>
      <c r="J108" t="str">
        <f t="shared" si="4"/>
        <v xml:space="preserve">Edge pr. </v>
      </c>
      <c r="L108" t="str">
        <f t="shared" si="5"/>
        <v>tryrun('msedge.exe --profile-directory=""')</v>
      </c>
    </row>
    <row r="109" spans="3:12" x14ac:dyDescent="0.25">
      <c r="C109" t="str" cm="1">
        <f t="array" ref="C109">IF(ISNUMBER(SEARCH("\",B109)),INDEX(_xlfn.TEXTSPLIT(B109,"\"),6),"")</f>
        <v/>
      </c>
      <c r="D109" t="str" cm="1">
        <f t="array" ref="D109">IF(ISBLANK(B110),"",INDEX(_xlfn.TEXTSPLIT(B110,"    "),4))</f>
        <v/>
      </c>
      <c r="G109" t="s">
        <v>272</v>
      </c>
      <c r="H109" t="s">
        <v>294</v>
      </c>
      <c r="I109" t="str">
        <f t="shared" si="3"/>
        <v xml:space="preserve">ep </v>
      </c>
      <c r="J109" t="str">
        <f t="shared" si="4"/>
        <v xml:space="preserve">Edge pr. </v>
      </c>
      <c r="L109" t="str">
        <f t="shared" si="5"/>
        <v>tryrun('msedge.exe --profile-directory=""')</v>
      </c>
    </row>
    <row r="110" spans="3:12" x14ac:dyDescent="0.25">
      <c r="G110" t="s">
        <v>272</v>
      </c>
      <c r="H110" t="s">
        <v>294</v>
      </c>
      <c r="I110" t="str">
        <f t="shared" si="3"/>
        <v xml:space="preserve">ep </v>
      </c>
      <c r="J110" t="str">
        <f t="shared" si="4"/>
        <v xml:space="preserve">Edge pr. </v>
      </c>
      <c r="L110" t="str">
        <f t="shared" si="5"/>
        <v>tryrun('msedge.exe --profile-directory=""')</v>
      </c>
    </row>
    <row r="111" spans="3:12" x14ac:dyDescent="0.25">
      <c r="G111" t="s">
        <v>272</v>
      </c>
      <c r="H111" t="s">
        <v>294</v>
      </c>
      <c r="I111" t="str">
        <f t="shared" si="3"/>
        <v xml:space="preserve">ep </v>
      </c>
      <c r="J111" t="str">
        <f t="shared" si="4"/>
        <v xml:space="preserve">Edge pr. </v>
      </c>
      <c r="L111" t="str">
        <f t="shared" si="5"/>
        <v>tryrun('msedge.exe --profile-directory=""')</v>
      </c>
    </row>
    <row r="112" spans="3:12" x14ac:dyDescent="0.25">
      <c r="C112" t="str" cm="1">
        <f t="array" ref="C112">IF(ISNUMBER(SEARCH("\",B112)),INDEX(_xlfn.TEXTSPLIT(B112,"\"),6),"")</f>
        <v/>
      </c>
      <c r="D112" t="str" cm="1">
        <f t="array" ref="D112">IF(ISBLANK(B113),"",INDEX(_xlfn.TEXTSPLIT(B113,"    "),4))</f>
        <v/>
      </c>
      <c r="G112" t="s">
        <v>272</v>
      </c>
      <c r="H112" t="s">
        <v>294</v>
      </c>
      <c r="I112" t="str">
        <f t="shared" si="3"/>
        <v xml:space="preserve">ep </v>
      </c>
      <c r="J112" t="str">
        <f t="shared" si="4"/>
        <v xml:space="preserve">Edge pr. </v>
      </c>
      <c r="L112" t="str">
        <f t="shared" si="5"/>
        <v>tryrun('msedge.exe --profile-directory=""')</v>
      </c>
    </row>
    <row r="113" spans="3:12" x14ac:dyDescent="0.25">
      <c r="G113" t="s">
        <v>272</v>
      </c>
      <c r="H113" t="s">
        <v>294</v>
      </c>
      <c r="I113" t="str">
        <f t="shared" si="3"/>
        <v xml:space="preserve">ep </v>
      </c>
      <c r="J113" t="str">
        <f t="shared" si="4"/>
        <v xml:space="preserve">Edge pr. </v>
      </c>
      <c r="L113" t="str">
        <f t="shared" si="5"/>
        <v>tryrun('msedge.exe --profile-directory=""')</v>
      </c>
    </row>
    <row r="114" spans="3:12" x14ac:dyDescent="0.25">
      <c r="G114" t="s">
        <v>272</v>
      </c>
      <c r="H114" t="s">
        <v>294</v>
      </c>
      <c r="I114" t="str">
        <f t="shared" si="3"/>
        <v xml:space="preserve">ep </v>
      </c>
      <c r="J114" t="str">
        <f t="shared" si="4"/>
        <v xml:space="preserve">Edge pr. </v>
      </c>
      <c r="L114" t="str">
        <f t="shared" si="5"/>
        <v>tryrun('msedge.exe --profile-directory=""')</v>
      </c>
    </row>
    <row r="115" spans="3:12" x14ac:dyDescent="0.25">
      <c r="C115" t="str" cm="1">
        <f t="array" ref="C115">IF(ISNUMBER(SEARCH("\",B115)),INDEX(_xlfn.TEXTSPLIT(B115,"\"),6),"")</f>
        <v/>
      </c>
      <c r="D115" t="str" cm="1">
        <f t="array" ref="D115">IF(ISBLANK(B116),"",INDEX(_xlfn.TEXTSPLIT(B116,"    "),4))</f>
        <v/>
      </c>
      <c r="G115" t="s">
        <v>272</v>
      </c>
      <c r="H115" t="s">
        <v>294</v>
      </c>
      <c r="I115" t="str">
        <f t="shared" si="3"/>
        <v xml:space="preserve">ep </v>
      </c>
      <c r="J115" t="str">
        <f t="shared" si="4"/>
        <v xml:space="preserve">Edge pr. </v>
      </c>
      <c r="L115" t="str">
        <f t="shared" si="5"/>
        <v>tryrun('msedge.exe --profile-directory=""')</v>
      </c>
    </row>
    <row r="116" spans="3:12" x14ac:dyDescent="0.25">
      <c r="G116" t="s">
        <v>272</v>
      </c>
      <c r="H116" t="s">
        <v>294</v>
      </c>
      <c r="I116" t="str">
        <f t="shared" si="3"/>
        <v xml:space="preserve">ep </v>
      </c>
      <c r="J116" t="str">
        <f t="shared" si="4"/>
        <v xml:space="preserve">Edge pr. </v>
      </c>
      <c r="L116" t="str">
        <f t="shared" si="5"/>
        <v>tryrun('msedge.exe --profile-directory=""')</v>
      </c>
    </row>
    <row r="117" spans="3:12" x14ac:dyDescent="0.25">
      <c r="G117" t="s">
        <v>272</v>
      </c>
      <c r="H117" t="s">
        <v>294</v>
      </c>
      <c r="I117" t="str">
        <f t="shared" si="3"/>
        <v xml:space="preserve">ep </v>
      </c>
      <c r="J117" t="str">
        <f t="shared" si="4"/>
        <v xml:space="preserve">Edge pr. </v>
      </c>
      <c r="L117" t="str">
        <f t="shared" si="5"/>
        <v>tryrun('msedge.exe --profile-directory=""')</v>
      </c>
    </row>
    <row r="118" spans="3:12" x14ac:dyDescent="0.25">
      <c r="C118" t="str" cm="1">
        <f t="array" ref="C118">IF(ISNUMBER(SEARCH("\",B118)),INDEX(_xlfn.TEXTSPLIT(B118,"\"),6),"")</f>
        <v/>
      </c>
      <c r="D118" t="str" cm="1">
        <f t="array" ref="D118">IF(ISBLANK(B119),"",INDEX(_xlfn.TEXTSPLIT(B119,"    "),4))</f>
        <v/>
      </c>
      <c r="G118" t="s">
        <v>272</v>
      </c>
      <c r="H118" t="s">
        <v>294</v>
      </c>
      <c r="I118" t="str">
        <f t="shared" si="3"/>
        <v xml:space="preserve">ep </v>
      </c>
      <c r="J118" t="str">
        <f t="shared" si="4"/>
        <v xml:space="preserve">Edge pr. </v>
      </c>
      <c r="L118" t="str">
        <f t="shared" si="5"/>
        <v>tryrun('msedge.exe --profile-directory=""')</v>
      </c>
    </row>
    <row r="119" spans="3:12" x14ac:dyDescent="0.25">
      <c r="G119" t="s">
        <v>272</v>
      </c>
      <c r="H119" t="s">
        <v>294</v>
      </c>
      <c r="I119" t="str">
        <f t="shared" si="3"/>
        <v xml:space="preserve">ep </v>
      </c>
      <c r="J119" t="str">
        <f t="shared" si="4"/>
        <v xml:space="preserve">Edge pr. </v>
      </c>
      <c r="L119" t="str">
        <f t="shared" si="5"/>
        <v>tryrun('msedge.exe --profile-directory=""')</v>
      </c>
    </row>
    <row r="120" spans="3:12" x14ac:dyDescent="0.25">
      <c r="G120" t="s">
        <v>272</v>
      </c>
      <c r="H120" t="s">
        <v>294</v>
      </c>
      <c r="I120" t="str">
        <f t="shared" si="3"/>
        <v xml:space="preserve">ep </v>
      </c>
      <c r="J120" t="str">
        <f t="shared" si="4"/>
        <v xml:space="preserve">Edge pr. </v>
      </c>
      <c r="L120" t="str">
        <f t="shared" si="5"/>
        <v>tryrun('msedge.exe --profile-directory=""')</v>
      </c>
    </row>
    <row r="121" spans="3:12" x14ac:dyDescent="0.25">
      <c r="C121" t="str" cm="1">
        <f t="array" ref="C121">IF(ISNUMBER(SEARCH("\",B121)),INDEX(_xlfn.TEXTSPLIT(B121,"\"),6),"")</f>
        <v/>
      </c>
      <c r="D121" t="str" cm="1">
        <f t="array" ref="D121">IF(ISBLANK(B122),"",INDEX(_xlfn.TEXTSPLIT(B122,"    "),4))</f>
        <v/>
      </c>
      <c r="G121" t="s">
        <v>272</v>
      </c>
      <c r="H121" t="s">
        <v>294</v>
      </c>
      <c r="I121" t="str">
        <f t="shared" si="3"/>
        <v xml:space="preserve">ep </v>
      </c>
      <c r="J121" t="str">
        <f t="shared" si="4"/>
        <v xml:space="preserve">Edge pr. </v>
      </c>
      <c r="L121" t="str">
        <f t="shared" si="5"/>
        <v>tryrun('msedge.exe --profile-directory=""')</v>
      </c>
    </row>
    <row r="122" spans="3:12" x14ac:dyDescent="0.25">
      <c r="G122" t="s">
        <v>272</v>
      </c>
      <c r="H122" t="s">
        <v>294</v>
      </c>
      <c r="I122" t="str">
        <f t="shared" si="3"/>
        <v xml:space="preserve">ep </v>
      </c>
      <c r="J122" t="str">
        <f t="shared" si="4"/>
        <v xml:space="preserve">Edge pr. </v>
      </c>
      <c r="L122" t="str">
        <f t="shared" si="5"/>
        <v>tryrun('msedge.exe --profile-directory=""')</v>
      </c>
    </row>
    <row r="123" spans="3:12" x14ac:dyDescent="0.25">
      <c r="G123" t="s">
        <v>272</v>
      </c>
      <c r="H123" t="s">
        <v>294</v>
      </c>
      <c r="I123" t="str">
        <f t="shared" si="3"/>
        <v xml:space="preserve">ep </v>
      </c>
      <c r="J123" t="str">
        <f t="shared" si="4"/>
        <v xml:space="preserve">Edge pr. </v>
      </c>
      <c r="L123" t="str">
        <f t="shared" si="5"/>
        <v>tryrun('msedge.exe --profile-directory=""')</v>
      </c>
    </row>
    <row r="124" spans="3:12" x14ac:dyDescent="0.25">
      <c r="C124" t="str" cm="1">
        <f t="array" ref="C124">IF(ISNUMBER(SEARCH("\",B124)),INDEX(_xlfn.TEXTSPLIT(B124,"\"),6),"")</f>
        <v/>
      </c>
      <c r="D124" t="str" cm="1">
        <f t="array" ref="D124">IF(ISBLANK(B125),"",INDEX(_xlfn.TEXTSPLIT(B125,"    "),4))</f>
        <v/>
      </c>
      <c r="G124" t="s">
        <v>272</v>
      </c>
      <c r="H124" t="s">
        <v>294</v>
      </c>
      <c r="I124" t="str">
        <f t="shared" si="3"/>
        <v xml:space="preserve">ep </v>
      </c>
      <c r="J124" t="str">
        <f t="shared" si="4"/>
        <v xml:space="preserve">Edge pr. </v>
      </c>
      <c r="L124" t="str">
        <f t="shared" si="5"/>
        <v>tryrun('msedge.exe --profile-directory=""')</v>
      </c>
    </row>
    <row r="125" spans="3:12" x14ac:dyDescent="0.25">
      <c r="G125" t="s">
        <v>272</v>
      </c>
      <c r="H125" t="s">
        <v>294</v>
      </c>
      <c r="I125" t="str">
        <f t="shared" si="3"/>
        <v xml:space="preserve">ep </v>
      </c>
      <c r="J125" t="str">
        <f t="shared" si="4"/>
        <v xml:space="preserve">Edge pr. </v>
      </c>
      <c r="L125" t="str">
        <f t="shared" si="5"/>
        <v>tryrun('msedge.exe --profile-directory=""')</v>
      </c>
    </row>
    <row r="126" spans="3:12" x14ac:dyDescent="0.25">
      <c r="G126" t="s">
        <v>272</v>
      </c>
      <c r="H126" t="s">
        <v>294</v>
      </c>
      <c r="I126" t="str">
        <f t="shared" si="3"/>
        <v xml:space="preserve">ep </v>
      </c>
      <c r="J126" t="str">
        <f t="shared" si="4"/>
        <v xml:space="preserve">Edge pr. </v>
      </c>
      <c r="L126" t="str">
        <f t="shared" si="5"/>
        <v>tryrun('msedge.exe --profile-directory=""')</v>
      </c>
    </row>
    <row r="127" spans="3:12" x14ac:dyDescent="0.25">
      <c r="C127" t="str" cm="1">
        <f t="array" ref="C127">IF(ISNUMBER(SEARCH("\",B127)),INDEX(_xlfn.TEXTSPLIT(B127,"\"),6),"")</f>
        <v/>
      </c>
      <c r="D127" t="str" cm="1">
        <f t="array" ref="D127">IF(ISBLANK(B128),"",INDEX(_xlfn.TEXTSPLIT(B128,"    "),4))</f>
        <v/>
      </c>
      <c r="G127" t="s">
        <v>272</v>
      </c>
      <c r="H127" t="s">
        <v>294</v>
      </c>
      <c r="I127" t="str">
        <f t="shared" si="3"/>
        <v xml:space="preserve">ep </v>
      </c>
      <c r="J127" t="str">
        <f t="shared" si="4"/>
        <v xml:space="preserve">Edge pr. </v>
      </c>
      <c r="L127" t="str">
        <f t="shared" si="5"/>
        <v>tryrun('msedge.exe --profile-directory=""')</v>
      </c>
    </row>
    <row r="128" spans="3:12" x14ac:dyDescent="0.25">
      <c r="G128" t="s">
        <v>272</v>
      </c>
      <c r="H128" t="s">
        <v>294</v>
      </c>
      <c r="I128" t="str">
        <f t="shared" si="3"/>
        <v xml:space="preserve">ep </v>
      </c>
      <c r="J128" t="str">
        <f t="shared" si="4"/>
        <v xml:space="preserve">Edge pr. </v>
      </c>
      <c r="L128" t="str">
        <f t="shared" si="5"/>
        <v>tryrun('msedge.exe --profile-directory=""')</v>
      </c>
    </row>
    <row r="129" spans="3:12" x14ac:dyDescent="0.25">
      <c r="G129" t="s">
        <v>272</v>
      </c>
      <c r="H129" t="s">
        <v>294</v>
      </c>
      <c r="I129" t="str">
        <f t="shared" si="3"/>
        <v xml:space="preserve">ep </v>
      </c>
      <c r="J129" t="str">
        <f t="shared" si="4"/>
        <v xml:space="preserve">Edge pr. </v>
      </c>
      <c r="L129" t="str">
        <f t="shared" si="5"/>
        <v>tryrun('msedge.exe --profile-directory=""')</v>
      </c>
    </row>
    <row r="130" spans="3:12" x14ac:dyDescent="0.25">
      <c r="C130" t="str" cm="1">
        <f t="array" ref="C130">IF(ISNUMBER(SEARCH("\",B130)),INDEX(_xlfn.TEXTSPLIT(B130,"\"),6),"")</f>
        <v/>
      </c>
      <c r="D130" t="str" cm="1">
        <f t="array" ref="D130">IF(ISBLANK(B131),"",INDEX(_xlfn.TEXTSPLIT(B131,"    "),4))</f>
        <v/>
      </c>
      <c r="G130" t="s">
        <v>272</v>
      </c>
      <c r="H130" t="s">
        <v>294</v>
      </c>
      <c r="I130" t="str">
        <f t="shared" si="3"/>
        <v xml:space="preserve">ep </v>
      </c>
      <c r="J130" t="str">
        <f t="shared" si="4"/>
        <v xml:space="preserve">Edge pr. </v>
      </c>
      <c r="L130" t="str">
        <f t="shared" si="5"/>
        <v>tryrun('msedge.exe --profile-directory=""')</v>
      </c>
    </row>
    <row r="131" spans="3:12" x14ac:dyDescent="0.25">
      <c r="G131" t="s">
        <v>272</v>
      </c>
      <c r="H131" t="s">
        <v>294</v>
      </c>
      <c r="I131" t="str">
        <f t="shared" si="3"/>
        <v xml:space="preserve">ep </v>
      </c>
      <c r="J131" t="str">
        <f t="shared" si="4"/>
        <v xml:space="preserve">Edge pr. </v>
      </c>
      <c r="L131" t="str">
        <f t="shared" si="5"/>
        <v>tryrun('msedge.exe --profile-directory=""')</v>
      </c>
    </row>
    <row r="132" spans="3:12" x14ac:dyDescent="0.25">
      <c r="G132" t="s">
        <v>272</v>
      </c>
      <c r="H132" t="s">
        <v>294</v>
      </c>
      <c r="I132" t="str">
        <f t="shared" si="3"/>
        <v xml:space="preserve">ep </v>
      </c>
      <c r="J132" t="str">
        <f t="shared" si="4"/>
        <v xml:space="preserve">Edge pr. </v>
      </c>
      <c r="L132" t="str">
        <f t="shared" si="5"/>
        <v>tryrun('msedge.exe --profile-directory=""')</v>
      </c>
    </row>
    <row r="133" spans="3:12" x14ac:dyDescent="0.25">
      <c r="C133" t="str" cm="1">
        <f t="array" ref="C133">IF(ISNUMBER(SEARCH("\",B133)),INDEX(_xlfn.TEXTSPLIT(B133,"\"),6),"")</f>
        <v/>
      </c>
      <c r="D133" t="str" cm="1">
        <f t="array" ref="D133">IF(ISBLANK(B134),"",INDEX(_xlfn.TEXTSPLIT(B134,"    "),4))</f>
        <v/>
      </c>
      <c r="G133" t="s">
        <v>272</v>
      </c>
      <c r="H133" t="s">
        <v>294</v>
      </c>
      <c r="I133" t="str">
        <f t="shared" ref="I133:I196" si="6">"ep " &amp; LOWER(LEFT(F133,3))</f>
        <v xml:space="preserve">ep </v>
      </c>
      <c r="J133" t="str">
        <f t="shared" ref="J133:J196" si="7">"Edge pr. " &amp;F133</f>
        <v xml:space="preserve">Edge pr. </v>
      </c>
      <c r="L133" t="str">
        <f t="shared" ref="L133:L196" si="8">"tryrun('msedge.exe --profile-directory="""&amp;E133&amp;"""')"</f>
        <v>tryrun('msedge.exe --profile-directory=""')</v>
      </c>
    </row>
    <row r="134" spans="3:12" x14ac:dyDescent="0.25">
      <c r="G134" t="s">
        <v>272</v>
      </c>
      <c r="H134" t="s">
        <v>294</v>
      </c>
      <c r="I134" t="str">
        <f t="shared" si="6"/>
        <v xml:space="preserve">ep </v>
      </c>
      <c r="J134" t="str">
        <f t="shared" si="7"/>
        <v xml:space="preserve">Edge pr. </v>
      </c>
      <c r="L134" t="str">
        <f t="shared" si="8"/>
        <v>tryrun('msedge.exe --profile-directory=""')</v>
      </c>
    </row>
    <row r="135" spans="3:12" x14ac:dyDescent="0.25">
      <c r="G135" t="s">
        <v>272</v>
      </c>
      <c r="H135" t="s">
        <v>294</v>
      </c>
      <c r="I135" t="str">
        <f t="shared" si="6"/>
        <v xml:space="preserve">ep </v>
      </c>
      <c r="J135" t="str">
        <f t="shared" si="7"/>
        <v xml:space="preserve">Edge pr. </v>
      </c>
      <c r="L135" t="str">
        <f t="shared" si="8"/>
        <v>tryrun('msedge.exe --profile-directory=""')</v>
      </c>
    </row>
    <row r="136" spans="3:12" x14ac:dyDescent="0.25">
      <c r="C136" t="str" cm="1">
        <f t="array" ref="C136">IF(ISNUMBER(SEARCH("\",B136)),INDEX(_xlfn.TEXTSPLIT(B136,"\"),6),"")</f>
        <v/>
      </c>
      <c r="D136" t="str" cm="1">
        <f t="array" ref="D136">IF(ISBLANK(B137),"",INDEX(_xlfn.TEXTSPLIT(B137,"    "),4))</f>
        <v/>
      </c>
      <c r="G136" t="s">
        <v>272</v>
      </c>
      <c r="H136" t="s">
        <v>294</v>
      </c>
      <c r="I136" t="str">
        <f t="shared" si="6"/>
        <v xml:space="preserve">ep </v>
      </c>
      <c r="J136" t="str">
        <f t="shared" si="7"/>
        <v xml:space="preserve">Edge pr. </v>
      </c>
      <c r="L136" t="str">
        <f t="shared" si="8"/>
        <v>tryrun('msedge.exe --profile-directory=""')</v>
      </c>
    </row>
    <row r="137" spans="3:12" x14ac:dyDescent="0.25">
      <c r="G137" t="s">
        <v>272</v>
      </c>
      <c r="H137" t="s">
        <v>294</v>
      </c>
      <c r="I137" t="str">
        <f t="shared" si="6"/>
        <v xml:space="preserve">ep </v>
      </c>
      <c r="J137" t="str">
        <f t="shared" si="7"/>
        <v xml:space="preserve">Edge pr. </v>
      </c>
      <c r="L137" t="str">
        <f t="shared" si="8"/>
        <v>tryrun('msedge.exe --profile-directory=""')</v>
      </c>
    </row>
    <row r="138" spans="3:12" x14ac:dyDescent="0.25">
      <c r="G138" t="s">
        <v>272</v>
      </c>
      <c r="H138" t="s">
        <v>294</v>
      </c>
      <c r="I138" t="str">
        <f t="shared" si="6"/>
        <v xml:space="preserve">ep </v>
      </c>
      <c r="J138" t="str">
        <f t="shared" si="7"/>
        <v xml:space="preserve">Edge pr. </v>
      </c>
      <c r="L138" t="str">
        <f t="shared" si="8"/>
        <v>tryrun('msedge.exe --profile-directory=""')</v>
      </c>
    </row>
    <row r="139" spans="3:12" x14ac:dyDescent="0.25">
      <c r="C139" t="str" cm="1">
        <f t="array" ref="C139">IF(ISNUMBER(SEARCH("\",B139)),INDEX(_xlfn.TEXTSPLIT(B139,"\"),6),"")</f>
        <v/>
      </c>
      <c r="D139" t="str" cm="1">
        <f t="array" ref="D139">IF(ISBLANK(B140),"",INDEX(_xlfn.TEXTSPLIT(B140,"    "),4))</f>
        <v/>
      </c>
      <c r="G139" t="s">
        <v>272</v>
      </c>
      <c r="H139" t="s">
        <v>294</v>
      </c>
      <c r="I139" t="str">
        <f t="shared" si="6"/>
        <v xml:space="preserve">ep </v>
      </c>
      <c r="J139" t="str">
        <f t="shared" si="7"/>
        <v xml:space="preserve">Edge pr. </v>
      </c>
      <c r="L139" t="str">
        <f t="shared" si="8"/>
        <v>tryrun('msedge.exe --profile-directory=""')</v>
      </c>
    </row>
    <row r="140" spans="3:12" x14ac:dyDescent="0.25">
      <c r="G140" t="s">
        <v>272</v>
      </c>
      <c r="H140" t="s">
        <v>294</v>
      </c>
      <c r="I140" t="str">
        <f t="shared" si="6"/>
        <v xml:space="preserve">ep </v>
      </c>
      <c r="J140" t="str">
        <f t="shared" si="7"/>
        <v xml:space="preserve">Edge pr. </v>
      </c>
      <c r="L140" t="str">
        <f t="shared" si="8"/>
        <v>tryrun('msedge.exe --profile-directory=""')</v>
      </c>
    </row>
    <row r="141" spans="3:12" x14ac:dyDescent="0.25">
      <c r="G141" t="s">
        <v>272</v>
      </c>
      <c r="H141" t="s">
        <v>294</v>
      </c>
      <c r="I141" t="str">
        <f t="shared" si="6"/>
        <v xml:space="preserve">ep </v>
      </c>
      <c r="J141" t="str">
        <f t="shared" si="7"/>
        <v xml:space="preserve">Edge pr. </v>
      </c>
      <c r="L141" t="str">
        <f t="shared" si="8"/>
        <v>tryrun('msedge.exe --profile-directory=""')</v>
      </c>
    </row>
    <row r="142" spans="3:12" x14ac:dyDescent="0.25">
      <c r="C142" t="str" cm="1">
        <f t="array" ref="C142">IF(ISNUMBER(SEARCH("\",B142)),INDEX(_xlfn.TEXTSPLIT(B142,"\"),6),"")</f>
        <v/>
      </c>
      <c r="D142" t="str" cm="1">
        <f t="array" ref="D142">IF(ISBLANK(B143),"",INDEX(_xlfn.TEXTSPLIT(B143,"    "),4))</f>
        <v/>
      </c>
      <c r="G142" t="s">
        <v>272</v>
      </c>
      <c r="H142" t="s">
        <v>294</v>
      </c>
      <c r="I142" t="str">
        <f t="shared" si="6"/>
        <v xml:space="preserve">ep </v>
      </c>
      <c r="J142" t="str">
        <f t="shared" si="7"/>
        <v xml:space="preserve">Edge pr. </v>
      </c>
      <c r="L142" t="str">
        <f t="shared" si="8"/>
        <v>tryrun('msedge.exe --profile-directory=""')</v>
      </c>
    </row>
    <row r="143" spans="3:12" x14ac:dyDescent="0.25">
      <c r="G143" t="s">
        <v>272</v>
      </c>
      <c r="H143" t="s">
        <v>294</v>
      </c>
      <c r="I143" t="str">
        <f t="shared" si="6"/>
        <v xml:space="preserve">ep </v>
      </c>
      <c r="J143" t="str">
        <f t="shared" si="7"/>
        <v xml:space="preserve">Edge pr. </v>
      </c>
      <c r="L143" t="str">
        <f t="shared" si="8"/>
        <v>tryrun('msedge.exe --profile-directory=""')</v>
      </c>
    </row>
    <row r="144" spans="3:12" x14ac:dyDescent="0.25">
      <c r="G144" t="s">
        <v>272</v>
      </c>
      <c r="H144" t="s">
        <v>294</v>
      </c>
      <c r="I144" t="str">
        <f t="shared" si="6"/>
        <v xml:space="preserve">ep </v>
      </c>
      <c r="J144" t="str">
        <f t="shared" si="7"/>
        <v xml:space="preserve">Edge pr. </v>
      </c>
      <c r="L144" t="str">
        <f t="shared" si="8"/>
        <v>tryrun('msedge.exe --profile-directory=""')</v>
      </c>
    </row>
    <row r="145" spans="3:12" x14ac:dyDescent="0.25">
      <c r="C145" t="str" cm="1">
        <f t="array" ref="C145">IF(ISNUMBER(SEARCH("\",B145)),INDEX(_xlfn.TEXTSPLIT(B145,"\"),6),"")</f>
        <v/>
      </c>
      <c r="D145" t="str" cm="1">
        <f t="array" ref="D145">IF(ISBLANK(B146),"",INDEX(_xlfn.TEXTSPLIT(B146,"    "),4))</f>
        <v/>
      </c>
      <c r="G145" t="s">
        <v>272</v>
      </c>
      <c r="H145" t="s">
        <v>294</v>
      </c>
      <c r="I145" t="str">
        <f t="shared" si="6"/>
        <v xml:space="preserve">ep </v>
      </c>
      <c r="J145" t="str">
        <f t="shared" si="7"/>
        <v xml:space="preserve">Edge pr. </v>
      </c>
      <c r="L145" t="str">
        <f t="shared" si="8"/>
        <v>tryrun('msedge.exe --profile-directory=""')</v>
      </c>
    </row>
    <row r="146" spans="3:12" x14ac:dyDescent="0.25">
      <c r="G146" t="s">
        <v>272</v>
      </c>
      <c r="H146" t="s">
        <v>294</v>
      </c>
      <c r="I146" t="str">
        <f t="shared" si="6"/>
        <v xml:space="preserve">ep </v>
      </c>
      <c r="J146" t="str">
        <f t="shared" si="7"/>
        <v xml:space="preserve">Edge pr. </v>
      </c>
      <c r="L146" t="str">
        <f t="shared" si="8"/>
        <v>tryrun('msedge.exe --profile-directory=""')</v>
      </c>
    </row>
    <row r="147" spans="3:12" x14ac:dyDescent="0.25">
      <c r="G147" t="s">
        <v>272</v>
      </c>
      <c r="H147" t="s">
        <v>294</v>
      </c>
      <c r="I147" t="str">
        <f t="shared" si="6"/>
        <v xml:space="preserve">ep </v>
      </c>
      <c r="J147" t="str">
        <f t="shared" si="7"/>
        <v xml:space="preserve">Edge pr. </v>
      </c>
      <c r="L147" t="str">
        <f t="shared" si="8"/>
        <v>tryrun('msedge.exe --profile-directory=""')</v>
      </c>
    </row>
    <row r="148" spans="3:12" x14ac:dyDescent="0.25">
      <c r="C148" t="str" cm="1">
        <f t="array" ref="C148">IF(ISNUMBER(SEARCH("\",B148)),INDEX(_xlfn.TEXTSPLIT(B148,"\"),6),"")</f>
        <v/>
      </c>
      <c r="D148" t="str" cm="1">
        <f t="array" ref="D148">IF(ISBLANK(B149),"",INDEX(_xlfn.TEXTSPLIT(B149,"    "),4))</f>
        <v/>
      </c>
      <c r="G148" t="s">
        <v>272</v>
      </c>
      <c r="H148" t="s">
        <v>294</v>
      </c>
      <c r="I148" t="str">
        <f t="shared" si="6"/>
        <v xml:space="preserve">ep </v>
      </c>
      <c r="J148" t="str">
        <f t="shared" si="7"/>
        <v xml:space="preserve">Edge pr. </v>
      </c>
      <c r="L148" t="str">
        <f t="shared" si="8"/>
        <v>tryrun('msedge.exe --profile-directory=""')</v>
      </c>
    </row>
    <row r="149" spans="3:12" x14ac:dyDescent="0.25">
      <c r="G149" t="s">
        <v>272</v>
      </c>
      <c r="H149" t="s">
        <v>294</v>
      </c>
      <c r="I149" t="str">
        <f t="shared" si="6"/>
        <v xml:space="preserve">ep </v>
      </c>
      <c r="J149" t="str">
        <f t="shared" si="7"/>
        <v xml:space="preserve">Edge pr. </v>
      </c>
      <c r="L149" t="str">
        <f t="shared" si="8"/>
        <v>tryrun('msedge.exe --profile-directory=""')</v>
      </c>
    </row>
    <row r="150" spans="3:12" x14ac:dyDescent="0.25">
      <c r="G150" t="s">
        <v>272</v>
      </c>
      <c r="H150" t="s">
        <v>294</v>
      </c>
      <c r="I150" t="str">
        <f t="shared" si="6"/>
        <v xml:space="preserve">ep </v>
      </c>
      <c r="J150" t="str">
        <f t="shared" si="7"/>
        <v xml:space="preserve">Edge pr. </v>
      </c>
      <c r="L150" t="str">
        <f t="shared" si="8"/>
        <v>tryrun('msedge.exe --profile-directory=""')</v>
      </c>
    </row>
    <row r="151" spans="3:12" x14ac:dyDescent="0.25">
      <c r="C151" t="str" cm="1">
        <f t="array" ref="C151">IF(ISNUMBER(SEARCH("\",B151)),INDEX(_xlfn.TEXTSPLIT(B151,"\"),6),"")</f>
        <v/>
      </c>
      <c r="D151" t="str" cm="1">
        <f t="array" ref="D151">IF(ISBLANK(B152),"",INDEX(_xlfn.TEXTSPLIT(B152,"    "),4))</f>
        <v/>
      </c>
      <c r="G151" t="s">
        <v>272</v>
      </c>
      <c r="H151" t="s">
        <v>294</v>
      </c>
      <c r="I151" t="str">
        <f t="shared" si="6"/>
        <v xml:space="preserve">ep </v>
      </c>
      <c r="J151" t="str">
        <f t="shared" si="7"/>
        <v xml:space="preserve">Edge pr. </v>
      </c>
      <c r="L151" t="str">
        <f t="shared" si="8"/>
        <v>tryrun('msedge.exe --profile-directory=""')</v>
      </c>
    </row>
    <row r="152" spans="3:12" x14ac:dyDescent="0.25">
      <c r="G152" t="s">
        <v>272</v>
      </c>
      <c r="H152" t="s">
        <v>294</v>
      </c>
      <c r="I152" t="str">
        <f t="shared" si="6"/>
        <v xml:space="preserve">ep </v>
      </c>
      <c r="J152" t="str">
        <f t="shared" si="7"/>
        <v xml:space="preserve">Edge pr. </v>
      </c>
      <c r="L152" t="str">
        <f t="shared" si="8"/>
        <v>tryrun('msedge.exe --profile-directory=""')</v>
      </c>
    </row>
    <row r="153" spans="3:12" x14ac:dyDescent="0.25">
      <c r="G153" t="s">
        <v>272</v>
      </c>
      <c r="H153" t="s">
        <v>294</v>
      </c>
      <c r="I153" t="str">
        <f t="shared" si="6"/>
        <v xml:space="preserve">ep </v>
      </c>
      <c r="J153" t="str">
        <f t="shared" si="7"/>
        <v xml:space="preserve">Edge pr. </v>
      </c>
      <c r="L153" t="str">
        <f t="shared" si="8"/>
        <v>tryrun('msedge.exe --profile-directory=""')</v>
      </c>
    </row>
    <row r="154" spans="3:12" x14ac:dyDescent="0.25">
      <c r="C154" t="str" cm="1">
        <f t="array" ref="C154">IF(ISNUMBER(SEARCH("\",B154)),INDEX(_xlfn.TEXTSPLIT(B154,"\"),6),"")</f>
        <v/>
      </c>
      <c r="D154" t="str" cm="1">
        <f t="array" ref="D154">IF(ISBLANK(B155),"",INDEX(_xlfn.TEXTSPLIT(B155,"    "),4))</f>
        <v/>
      </c>
      <c r="G154" t="s">
        <v>272</v>
      </c>
      <c r="H154" t="s">
        <v>294</v>
      </c>
      <c r="I154" t="str">
        <f t="shared" si="6"/>
        <v xml:space="preserve">ep </v>
      </c>
      <c r="J154" t="str">
        <f t="shared" si="7"/>
        <v xml:space="preserve">Edge pr. </v>
      </c>
      <c r="L154" t="str">
        <f t="shared" si="8"/>
        <v>tryrun('msedge.exe --profile-directory=""')</v>
      </c>
    </row>
    <row r="155" spans="3:12" x14ac:dyDescent="0.25">
      <c r="G155" t="s">
        <v>272</v>
      </c>
      <c r="H155" t="s">
        <v>294</v>
      </c>
      <c r="I155" t="str">
        <f t="shared" si="6"/>
        <v xml:space="preserve">ep </v>
      </c>
      <c r="J155" t="str">
        <f t="shared" si="7"/>
        <v xml:space="preserve">Edge pr. </v>
      </c>
      <c r="L155" t="str">
        <f t="shared" si="8"/>
        <v>tryrun('msedge.exe --profile-directory=""')</v>
      </c>
    </row>
    <row r="156" spans="3:12" x14ac:dyDescent="0.25">
      <c r="G156" t="s">
        <v>272</v>
      </c>
      <c r="H156" t="s">
        <v>294</v>
      </c>
      <c r="I156" t="str">
        <f t="shared" si="6"/>
        <v xml:space="preserve">ep </v>
      </c>
      <c r="J156" t="str">
        <f t="shared" si="7"/>
        <v xml:space="preserve">Edge pr. </v>
      </c>
      <c r="L156" t="str">
        <f t="shared" si="8"/>
        <v>tryrun('msedge.exe --profile-directory=""')</v>
      </c>
    </row>
    <row r="157" spans="3:12" x14ac:dyDescent="0.25">
      <c r="C157" t="str" cm="1">
        <f t="array" ref="C157">IF(ISNUMBER(SEARCH("\",B157)),INDEX(_xlfn.TEXTSPLIT(B157,"\"),6),"")</f>
        <v/>
      </c>
      <c r="D157" t="str" cm="1">
        <f t="array" ref="D157">IF(ISBLANK(B158),"",INDEX(_xlfn.TEXTSPLIT(B158,"    "),4))</f>
        <v/>
      </c>
      <c r="G157" t="s">
        <v>272</v>
      </c>
      <c r="H157" t="s">
        <v>294</v>
      </c>
      <c r="I157" t="str">
        <f t="shared" si="6"/>
        <v xml:space="preserve">ep </v>
      </c>
      <c r="J157" t="str">
        <f t="shared" si="7"/>
        <v xml:space="preserve">Edge pr. </v>
      </c>
      <c r="L157" t="str">
        <f t="shared" si="8"/>
        <v>tryrun('msedge.exe --profile-directory=""')</v>
      </c>
    </row>
    <row r="158" spans="3:12" x14ac:dyDescent="0.25">
      <c r="G158" t="s">
        <v>272</v>
      </c>
      <c r="H158" t="s">
        <v>294</v>
      </c>
      <c r="I158" t="str">
        <f t="shared" si="6"/>
        <v xml:space="preserve">ep </v>
      </c>
      <c r="J158" t="str">
        <f t="shared" si="7"/>
        <v xml:space="preserve">Edge pr. </v>
      </c>
      <c r="L158" t="str">
        <f t="shared" si="8"/>
        <v>tryrun('msedge.exe --profile-directory=""')</v>
      </c>
    </row>
    <row r="159" spans="3:12" x14ac:dyDescent="0.25">
      <c r="G159" t="s">
        <v>272</v>
      </c>
      <c r="H159" t="s">
        <v>294</v>
      </c>
      <c r="I159" t="str">
        <f t="shared" si="6"/>
        <v xml:space="preserve">ep </v>
      </c>
      <c r="J159" t="str">
        <f t="shared" si="7"/>
        <v xml:space="preserve">Edge pr. </v>
      </c>
      <c r="L159" t="str">
        <f t="shared" si="8"/>
        <v>tryrun('msedge.exe --profile-directory=""')</v>
      </c>
    </row>
    <row r="160" spans="3:12" x14ac:dyDescent="0.25">
      <c r="C160" t="str" cm="1">
        <f t="array" ref="C160">IF(ISNUMBER(SEARCH("\",B160)),INDEX(_xlfn.TEXTSPLIT(B160,"\"),6),"")</f>
        <v/>
      </c>
      <c r="D160" t="str" cm="1">
        <f t="array" ref="D160">IF(ISBLANK(B161),"",INDEX(_xlfn.TEXTSPLIT(B161,"    "),4))</f>
        <v/>
      </c>
      <c r="G160" t="s">
        <v>272</v>
      </c>
      <c r="H160" t="s">
        <v>294</v>
      </c>
      <c r="I160" t="str">
        <f t="shared" si="6"/>
        <v xml:space="preserve">ep </v>
      </c>
      <c r="J160" t="str">
        <f t="shared" si="7"/>
        <v xml:space="preserve">Edge pr. </v>
      </c>
      <c r="L160" t="str">
        <f t="shared" si="8"/>
        <v>tryrun('msedge.exe --profile-directory=""')</v>
      </c>
    </row>
    <row r="161" spans="3:12" x14ac:dyDescent="0.25">
      <c r="G161" t="s">
        <v>272</v>
      </c>
      <c r="H161" t="s">
        <v>294</v>
      </c>
      <c r="I161" t="str">
        <f t="shared" si="6"/>
        <v xml:space="preserve">ep </v>
      </c>
      <c r="J161" t="str">
        <f t="shared" si="7"/>
        <v xml:space="preserve">Edge pr. </v>
      </c>
      <c r="L161" t="str">
        <f t="shared" si="8"/>
        <v>tryrun('msedge.exe --profile-directory=""')</v>
      </c>
    </row>
    <row r="162" spans="3:12" x14ac:dyDescent="0.25">
      <c r="G162" t="s">
        <v>272</v>
      </c>
      <c r="H162" t="s">
        <v>294</v>
      </c>
      <c r="I162" t="str">
        <f t="shared" si="6"/>
        <v xml:space="preserve">ep </v>
      </c>
      <c r="J162" t="str">
        <f t="shared" si="7"/>
        <v xml:space="preserve">Edge pr. </v>
      </c>
      <c r="L162" t="str">
        <f t="shared" si="8"/>
        <v>tryrun('msedge.exe --profile-directory=""')</v>
      </c>
    </row>
    <row r="163" spans="3:12" x14ac:dyDescent="0.25">
      <c r="C163" t="str" cm="1">
        <f t="array" ref="C163">IF(ISNUMBER(SEARCH("\",B163)),INDEX(_xlfn.TEXTSPLIT(B163,"\"),6),"")</f>
        <v/>
      </c>
      <c r="D163" t="str" cm="1">
        <f t="array" ref="D163">IF(ISBLANK(B164),"",INDEX(_xlfn.TEXTSPLIT(B164,"    "),4))</f>
        <v/>
      </c>
      <c r="G163" t="s">
        <v>272</v>
      </c>
      <c r="H163" t="s">
        <v>294</v>
      </c>
      <c r="I163" t="str">
        <f t="shared" si="6"/>
        <v xml:space="preserve">ep </v>
      </c>
      <c r="J163" t="str">
        <f t="shared" si="7"/>
        <v xml:space="preserve">Edge pr. </v>
      </c>
      <c r="L163" t="str">
        <f t="shared" si="8"/>
        <v>tryrun('msedge.exe --profile-directory=""')</v>
      </c>
    </row>
    <row r="164" spans="3:12" x14ac:dyDescent="0.25">
      <c r="G164" t="s">
        <v>272</v>
      </c>
      <c r="H164" t="s">
        <v>294</v>
      </c>
      <c r="I164" t="str">
        <f t="shared" si="6"/>
        <v xml:space="preserve">ep </v>
      </c>
      <c r="J164" t="str">
        <f t="shared" si="7"/>
        <v xml:space="preserve">Edge pr. </v>
      </c>
      <c r="L164" t="str">
        <f t="shared" si="8"/>
        <v>tryrun('msedge.exe --profile-directory=""')</v>
      </c>
    </row>
    <row r="165" spans="3:12" x14ac:dyDescent="0.25">
      <c r="G165" t="s">
        <v>272</v>
      </c>
      <c r="H165" t="s">
        <v>294</v>
      </c>
      <c r="I165" t="str">
        <f t="shared" si="6"/>
        <v xml:space="preserve">ep </v>
      </c>
      <c r="J165" t="str">
        <f t="shared" si="7"/>
        <v xml:space="preserve">Edge pr. </v>
      </c>
      <c r="L165" t="str">
        <f t="shared" si="8"/>
        <v>tryrun('msedge.exe --profile-directory=""')</v>
      </c>
    </row>
    <row r="166" spans="3:12" x14ac:dyDescent="0.25">
      <c r="C166" t="str" cm="1">
        <f t="array" ref="C166">IF(ISNUMBER(SEARCH("\",B166)),INDEX(_xlfn.TEXTSPLIT(B166,"\"),6),"")</f>
        <v/>
      </c>
      <c r="D166" t="str" cm="1">
        <f t="array" ref="D166">IF(ISBLANK(B167),"",INDEX(_xlfn.TEXTSPLIT(B167,"    "),4))</f>
        <v/>
      </c>
      <c r="G166" t="s">
        <v>272</v>
      </c>
      <c r="H166" t="s">
        <v>294</v>
      </c>
      <c r="I166" t="str">
        <f t="shared" si="6"/>
        <v xml:space="preserve">ep </v>
      </c>
      <c r="J166" t="str">
        <f t="shared" si="7"/>
        <v xml:space="preserve">Edge pr. </v>
      </c>
      <c r="L166" t="str">
        <f t="shared" si="8"/>
        <v>tryrun('msedge.exe --profile-directory=""')</v>
      </c>
    </row>
    <row r="167" spans="3:12" x14ac:dyDescent="0.25">
      <c r="G167" t="s">
        <v>272</v>
      </c>
      <c r="H167" t="s">
        <v>294</v>
      </c>
      <c r="I167" t="str">
        <f t="shared" si="6"/>
        <v xml:space="preserve">ep </v>
      </c>
      <c r="J167" t="str">
        <f t="shared" si="7"/>
        <v xml:space="preserve">Edge pr. </v>
      </c>
      <c r="L167" t="str">
        <f t="shared" si="8"/>
        <v>tryrun('msedge.exe --profile-directory=""')</v>
      </c>
    </row>
    <row r="168" spans="3:12" x14ac:dyDescent="0.25">
      <c r="G168" t="s">
        <v>272</v>
      </c>
      <c r="H168" t="s">
        <v>294</v>
      </c>
      <c r="I168" t="str">
        <f t="shared" si="6"/>
        <v xml:space="preserve">ep </v>
      </c>
      <c r="J168" t="str">
        <f t="shared" si="7"/>
        <v xml:space="preserve">Edge pr. </v>
      </c>
      <c r="L168" t="str">
        <f t="shared" si="8"/>
        <v>tryrun('msedge.exe --profile-directory=""')</v>
      </c>
    </row>
    <row r="169" spans="3:12" x14ac:dyDescent="0.25">
      <c r="C169" t="str" cm="1">
        <f t="array" ref="C169">IF(ISNUMBER(SEARCH("\",B169)),INDEX(_xlfn.TEXTSPLIT(B169,"\"),6),"")</f>
        <v/>
      </c>
      <c r="D169" t="str" cm="1">
        <f t="array" ref="D169">IF(ISBLANK(B170),"",INDEX(_xlfn.TEXTSPLIT(B170,"    "),4))</f>
        <v/>
      </c>
      <c r="G169" t="s">
        <v>272</v>
      </c>
      <c r="H169" t="s">
        <v>294</v>
      </c>
      <c r="I169" t="str">
        <f t="shared" si="6"/>
        <v xml:space="preserve">ep </v>
      </c>
      <c r="J169" t="str">
        <f t="shared" si="7"/>
        <v xml:space="preserve">Edge pr. </v>
      </c>
      <c r="L169" t="str">
        <f t="shared" si="8"/>
        <v>tryrun('msedge.exe --profile-directory=""')</v>
      </c>
    </row>
    <row r="170" spans="3:12" x14ac:dyDescent="0.25">
      <c r="G170" t="s">
        <v>272</v>
      </c>
      <c r="H170" t="s">
        <v>294</v>
      </c>
      <c r="I170" t="str">
        <f t="shared" si="6"/>
        <v xml:space="preserve">ep </v>
      </c>
      <c r="J170" t="str">
        <f t="shared" si="7"/>
        <v xml:space="preserve">Edge pr. </v>
      </c>
      <c r="L170" t="str">
        <f t="shared" si="8"/>
        <v>tryrun('msedge.exe --profile-directory=""')</v>
      </c>
    </row>
    <row r="171" spans="3:12" x14ac:dyDescent="0.25">
      <c r="G171" t="s">
        <v>272</v>
      </c>
      <c r="H171" t="s">
        <v>294</v>
      </c>
      <c r="I171" t="str">
        <f t="shared" si="6"/>
        <v xml:space="preserve">ep </v>
      </c>
      <c r="J171" t="str">
        <f t="shared" si="7"/>
        <v xml:space="preserve">Edge pr. </v>
      </c>
      <c r="L171" t="str">
        <f t="shared" si="8"/>
        <v>tryrun('msedge.exe --profile-directory=""')</v>
      </c>
    </row>
    <row r="172" spans="3:12" x14ac:dyDescent="0.25">
      <c r="C172" t="str" cm="1">
        <f t="array" ref="C172">IF(ISNUMBER(SEARCH("\",B172)),INDEX(_xlfn.TEXTSPLIT(B172,"\"),6),"")</f>
        <v/>
      </c>
      <c r="D172" t="str" cm="1">
        <f t="array" ref="D172">IF(ISBLANK(B173),"",INDEX(_xlfn.TEXTSPLIT(B173,"    "),4))</f>
        <v/>
      </c>
      <c r="G172" t="s">
        <v>272</v>
      </c>
      <c r="H172" t="s">
        <v>294</v>
      </c>
      <c r="I172" t="str">
        <f t="shared" si="6"/>
        <v xml:space="preserve">ep </v>
      </c>
      <c r="J172" t="str">
        <f t="shared" si="7"/>
        <v xml:space="preserve">Edge pr. </v>
      </c>
      <c r="L172" t="str">
        <f t="shared" si="8"/>
        <v>tryrun('msedge.exe --profile-directory=""')</v>
      </c>
    </row>
    <row r="173" spans="3:12" x14ac:dyDescent="0.25">
      <c r="G173" t="s">
        <v>272</v>
      </c>
      <c r="H173" t="s">
        <v>294</v>
      </c>
      <c r="I173" t="str">
        <f t="shared" si="6"/>
        <v xml:space="preserve">ep </v>
      </c>
      <c r="J173" t="str">
        <f t="shared" si="7"/>
        <v xml:space="preserve">Edge pr. </v>
      </c>
      <c r="L173" t="str">
        <f t="shared" si="8"/>
        <v>tryrun('msedge.exe --profile-directory=""')</v>
      </c>
    </row>
    <row r="174" spans="3:12" x14ac:dyDescent="0.25">
      <c r="G174" t="s">
        <v>272</v>
      </c>
      <c r="H174" t="s">
        <v>294</v>
      </c>
      <c r="I174" t="str">
        <f t="shared" si="6"/>
        <v xml:space="preserve">ep </v>
      </c>
      <c r="J174" t="str">
        <f t="shared" si="7"/>
        <v xml:space="preserve">Edge pr. </v>
      </c>
      <c r="L174" t="str">
        <f t="shared" si="8"/>
        <v>tryrun('msedge.exe --profile-directory=""')</v>
      </c>
    </row>
    <row r="175" spans="3:12" x14ac:dyDescent="0.25">
      <c r="C175" t="str" cm="1">
        <f t="array" ref="C175">IF(ISNUMBER(SEARCH("\",B175)),INDEX(_xlfn.TEXTSPLIT(B175,"\"),6),"")</f>
        <v/>
      </c>
      <c r="D175" t="str" cm="1">
        <f t="array" ref="D175">IF(ISBLANK(B176),"",INDEX(_xlfn.TEXTSPLIT(B176,"    "),4))</f>
        <v/>
      </c>
      <c r="G175" t="s">
        <v>272</v>
      </c>
      <c r="H175" t="s">
        <v>294</v>
      </c>
      <c r="I175" t="str">
        <f t="shared" si="6"/>
        <v xml:space="preserve">ep </v>
      </c>
      <c r="J175" t="str">
        <f t="shared" si="7"/>
        <v xml:space="preserve">Edge pr. </v>
      </c>
      <c r="L175" t="str">
        <f t="shared" si="8"/>
        <v>tryrun('msedge.exe --profile-directory=""')</v>
      </c>
    </row>
    <row r="176" spans="3:12" x14ac:dyDescent="0.25">
      <c r="G176" t="s">
        <v>272</v>
      </c>
      <c r="H176" t="s">
        <v>294</v>
      </c>
      <c r="I176" t="str">
        <f t="shared" si="6"/>
        <v xml:space="preserve">ep </v>
      </c>
      <c r="J176" t="str">
        <f t="shared" si="7"/>
        <v xml:space="preserve">Edge pr. </v>
      </c>
      <c r="L176" t="str">
        <f t="shared" si="8"/>
        <v>tryrun('msedge.exe --profile-directory=""')</v>
      </c>
    </row>
    <row r="177" spans="3:12" x14ac:dyDescent="0.25">
      <c r="G177" t="s">
        <v>272</v>
      </c>
      <c r="H177" t="s">
        <v>294</v>
      </c>
      <c r="I177" t="str">
        <f t="shared" si="6"/>
        <v xml:space="preserve">ep </v>
      </c>
      <c r="J177" t="str">
        <f t="shared" si="7"/>
        <v xml:space="preserve">Edge pr. </v>
      </c>
      <c r="L177" t="str">
        <f t="shared" si="8"/>
        <v>tryrun('msedge.exe --profile-directory=""')</v>
      </c>
    </row>
    <row r="178" spans="3:12" x14ac:dyDescent="0.25">
      <c r="C178" t="str" cm="1">
        <f t="array" ref="C178">IF(ISNUMBER(SEARCH("\",B178)),INDEX(_xlfn.TEXTSPLIT(B178,"\"),6),"")</f>
        <v/>
      </c>
      <c r="D178" t="str" cm="1">
        <f t="array" ref="D178">IF(ISBLANK(B179),"",INDEX(_xlfn.TEXTSPLIT(B179,"    "),4))</f>
        <v/>
      </c>
      <c r="G178" t="s">
        <v>272</v>
      </c>
      <c r="H178" t="s">
        <v>294</v>
      </c>
      <c r="I178" t="str">
        <f t="shared" si="6"/>
        <v xml:space="preserve">ep </v>
      </c>
      <c r="J178" t="str">
        <f t="shared" si="7"/>
        <v xml:space="preserve">Edge pr. </v>
      </c>
      <c r="L178" t="str">
        <f t="shared" si="8"/>
        <v>tryrun('msedge.exe --profile-directory=""')</v>
      </c>
    </row>
    <row r="179" spans="3:12" x14ac:dyDescent="0.25">
      <c r="G179" t="s">
        <v>272</v>
      </c>
      <c r="H179" t="s">
        <v>294</v>
      </c>
      <c r="I179" t="str">
        <f t="shared" si="6"/>
        <v xml:space="preserve">ep </v>
      </c>
      <c r="J179" t="str">
        <f t="shared" si="7"/>
        <v xml:space="preserve">Edge pr. </v>
      </c>
      <c r="L179" t="str">
        <f t="shared" si="8"/>
        <v>tryrun('msedge.exe --profile-directory=""')</v>
      </c>
    </row>
    <row r="180" spans="3:12" x14ac:dyDescent="0.25">
      <c r="G180" t="s">
        <v>272</v>
      </c>
      <c r="H180" t="s">
        <v>294</v>
      </c>
      <c r="I180" t="str">
        <f t="shared" si="6"/>
        <v xml:space="preserve">ep </v>
      </c>
      <c r="J180" t="str">
        <f t="shared" si="7"/>
        <v xml:space="preserve">Edge pr. </v>
      </c>
      <c r="L180" t="str">
        <f t="shared" si="8"/>
        <v>tryrun('msedge.exe --profile-directory=""')</v>
      </c>
    </row>
    <row r="181" spans="3:12" x14ac:dyDescent="0.25">
      <c r="C181" t="str" cm="1">
        <f t="array" ref="C181">IF(ISNUMBER(SEARCH("\",B181)),INDEX(_xlfn.TEXTSPLIT(B181,"\"),6),"")</f>
        <v/>
      </c>
      <c r="D181" t="str" cm="1">
        <f t="array" ref="D181">IF(ISBLANK(B182),"",INDEX(_xlfn.TEXTSPLIT(B182,"    "),4))</f>
        <v/>
      </c>
      <c r="G181" t="s">
        <v>272</v>
      </c>
      <c r="H181" t="s">
        <v>294</v>
      </c>
      <c r="I181" t="str">
        <f t="shared" si="6"/>
        <v xml:space="preserve">ep </v>
      </c>
      <c r="J181" t="str">
        <f t="shared" si="7"/>
        <v xml:space="preserve">Edge pr. </v>
      </c>
      <c r="L181" t="str">
        <f t="shared" si="8"/>
        <v>tryrun('msedge.exe --profile-directory=""')</v>
      </c>
    </row>
    <row r="182" spans="3:12" x14ac:dyDescent="0.25">
      <c r="G182" t="s">
        <v>272</v>
      </c>
      <c r="H182" t="s">
        <v>294</v>
      </c>
      <c r="I182" t="str">
        <f t="shared" si="6"/>
        <v xml:space="preserve">ep </v>
      </c>
      <c r="J182" t="str">
        <f t="shared" si="7"/>
        <v xml:space="preserve">Edge pr. </v>
      </c>
      <c r="L182" t="str">
        <f t="shared" si="8"/>
        <v>tryrun('msedge.exe --profile-directory=""')</v>
      </c>
    </row>
    <row r="183" spans="3:12" x14ac:dyDescent="0.25">
      <c r="G183" t="s">
        <v>272</v>
      </c>
      <c r="H183" t="s">
        <v>294</v>
      </c>
      <c r="I183" t="str">
        <f t="shared" si="6"/>
        <v xml:space="preserve">ep </v>
      </c>
      <c r="J183" t="str">
        <f t="shared" si="7"/>
        <v xml:space="preserve">Edge pr. </v>
      </c>
      <c r="L183" t="str">
        <f t="shared" si="8"/>
        <v>tryrun('msedge.exe --profile-directory=""')</v>
      </c>
    </row>
    <row r="184" spans="3:12" x14ac:dyDescent="0.25">
      <c r="C184" t="str" cm="1">
        <f t="array" ref="C184">IF(ISNUMBER(SEARCH("\",B184)),INDEX(_xlfn.TEXTSPLIT(B184,"\"),6),"")</f>
        <v/>
      </c>
      <c r="D184" t="str" cm="1">
        <f t="array" ref="D184">IF(ISBLANK(B185),"",INDEX(_xlfn.TEXTSPLIT(B185,"    "),4))</f>
        <v/>
      </c>
      <c r="G184" t="s">
        <v>272</v>
      </c>
      <c r="H184" t="s">
        <v>294</v>
      </c>
      <c r="I184" t="str">
        <f t="shared" si="6"/>
        <v xml:space="preserve">ep </v>
      </c>
      <c r="J184" t="str">
        <f t="shared" si="7"/>
        <v xml:space="preserve">Edge pr. </v>
      </c>
      <c r="L184" t="str">
        <f t="shared" si="8"/>
        <v>tryrun('msedge.exe --profile-directory=""')</v>
      </c>
    </row>
    <row r="185" spans="3:12" x14ac:dyDescent="0.25">
      <c r="G185" t="s">
        <v>272</v>
      </c>
      <c r="H185" t="s">
        <v>294</v>
      </c>
      <c r="I185" t="str">
        <f t="shared" si="6"/>
        <v xml:space="preserve">ep </v>
      </c>
      <c r="J185" t="str">
        <f t="shared" si="7"/>
        <v xml:space="preserve">Edge pr. </v>
      </c>
      <c r="L185" t="str">
        <f t="shared" si="8"/>
        <v>tryrun('msedge.exe --profile-directory=""')</v>
      </c>
    </row>
    <row r="186" spans="3:12" x14ac:dyDescent="0.25">
      <c r="G186" t="s">
        <v>272</v>
      </c>
      <c r="H186" t="s">
        <v>294</v>
      </c>
      <c r="I186" t="str">
        <f t="shared" si="6"/>
        <v xml:space="preserve">ep </v>
      </c>
      <c r="J186" t="str">
        <f t="shared" si="7"/>
        <v xml:space="preserve">Edge pr. </v>
      </c>
      <c r="L186" t="str">
        <f t="shared" si="8"/>
        <v>tryrun('msedge.exe --profile-directory=""')</v>
      </c>
    </row>
    <row r="187" spans="3:12" x14ac:dyDescent="0.25">
      <c r="C187" t="str" cm="1">
        <f t="array" ref="C187">IF(ISNUMBER(SEARCH("\",B187)),INDEX(_xlfn.TEXTSPLIT(B187,"\"),6),"")</f>
        <v/>
      </c>
      <c r="D187" t="str" cm="1">
        <f t="array" ref="D187">IF(ISBLANK(B188),"",INDEX(_xlfn.TEXTSPLIT(B188,"    "),4))</f>
        <v/>
      </c>
      <c r="G187" t="s">
        <v>272</v>
      </c>
      <c r="H187" t="s">
        <v>294</v>
      </c>
      <c r="I187" t="str">
        <f t="shared" si="6"/>
        <v xml:space="preserve">ep </v>
      </c>
      <c r="J187" t="str">
        <f t="shared" si="7"/>
        <v xml:space="preserve">Edge pr. </v>
      </c>
      <c r="L187" t="str">
        <f t="shared" si="8"/>
        <v>tryrun('msedge.exe --profile-directory=""')</v>
      </c>
    </row>
    <row r="188" spans="3:12" x14ac:dyDescent="0.25">
      <c r="G188" t="s">
        <v>272</v>
      </c>
      <c r="H188" t="s">
        <v>294</v>
      </c>
      <c r="I188" t="str">
        <f t="shared" si="6"/>
        <v xml:space="preserve">ep </v>
      </c>
      <c r="J188" t="str">
        <f t="shared" si="7"/>
        <v xml:space="preserve">Edge pr. </v>
      </c>
      <c r="L188" t="str">
        <f t="shared" si="8"/>
        <v>tryrun('msedge.exe --profile-directory=""')</v>
      </c>
    </row>
    <row r="189" spans="3:12" x14ac:dyDescent="0.25">
      <c r="G189" t="s">
        <v>272</v>
      </c>
      <c r="H189" t="s">
        <v>294</v>
      </c>
      <c r="I189" t="str">
        <f t="shared" si="6"/>
        <v xml:space="preserve">ep </v>
      </c>
      <c r="J189" t="str">
        <f t="shared" si="7"/>
        <v xml:space="preserve">Edge pr. </v>
      </c>
      <c r="L189" t="str">
        <f t="shared" si="8"/>
        <v>tryrun('msedge.exe --profile-directory=""')</v>
      </c>
    </row>
    <row r="190" spans="3:12" x14ac:dyDescent="0.25">
      <c r="C190" t="str" cm="1">
        <f t="array" ref="C190">IF(ISNUMBER(SEARCH("\",B190)),INDEX(_xlfn.TEXTSPLIT(B190,"\"),6),"")</f>
        <v/>
      </c>
      <c r="D190" t="str" cm="1">
        <f t="array" ref="D190">IF(ISBLANK(B191),"",INDEX(_xlfn.TEXTSPLIT(B191,"    "),4))</f>
        <v/>
      </c>
      <c r="G190" t="s">
        <v>272</v>
      </c>
      <c r="H190" t="s">
        <v>294</v>
      </c>
      <c r="I190" t="str">
        <f t="shared" si="6"/>
        <v xml:space="preserve">ep </v>
      </c>
      <c r="J190" t="str">
        <f t="shared" si="7"/>
        <v xml:space="preserve">Edge pr. </v>
      </c>
      <c r="L190" t="str">
        <f t="shared" si="8"/>
        <v>tryrun('msedge.exe --profile-directory=""')</v>
      </c>
    </row>
    <row r="191" spans="3:12" x14ac:dyDescent="0.25">
      <c r="G191" t="s">
        <v>272</v>
      </c>
      <c r="H191" t="s">
        <v>294</v>
      </c>
      <c r="I191" t="str">
        <f t="shared" si="6"/>
        <v xml:space="preserve">ep </v>
      </c>
      <c r="J191" t="str">
        <f t="shared" si="7"/>
        <v xml:space="preserve">Edge pr. </v>
      </c>
      <c r="L191" t="str">
        <f t="shared" si="8"/>
        <v>tryrun('msedge.exe --profile-directory=""')</v>
      </c>
    </row>
    <row r="192" spans="3:12" x14ac:dyDescent="0.25">
      <c r="G192" t="s">
        <v>272</v>
      </c>
      <c r="H192" t="s">
        <v>294</v>
      </c>
      <c r="I192" t="str">
        <f t="shared" si="6"/>
        <v xml:space="preserve">ep </v>
      </c>
      <c r="J192" t="str">
        <f t="shared" si="7"/>
        <v xml:space="preserve">Edge pr. </v>
      </c>
      <c r="L192" t="str">
        <f t="shared" si="8"/>
        <v>tryrun('msedge.exe --profile-directory=""')</v>
      </c>
    </row>
    <row r="193" spans="3:12" x14ac:dyDescent="0.25">
      <c r="C193" t="str" cm="1">
        <f t="array" ref="C193">IF(ISNUMBER(SEARCH("\",B193)),INDEX(_xlfn.TEXTSPLIT(B193,"\"),6),"")</f>
        <v/>
      </c>
      <c r="D193" t="str" cm="1">
        <f t="array" ref="D193">IF(ISBLANK(B194),"",INDEX(_xlfn.TEXTSPLIT(B194,"    "),4))</f>
        <v/>
      </c>
      <c r="G193" t="s">
        <v>272</v>
      </c>
      <c r="H193" t="s">
        <v>294</v>
      </c>
      <c r="I193" t="str">
        <f t="shared" si="6"/>
        <v xml:space="preserve">ep </v>
      </c>
      <c r="J193" t="str">
        <f t="shared" si="7"/>
        <v xml:space="preserve">Edge pr. </v>
      </c>
      <c r="L193" t="str">
        <f t="shared" si="8"/>
        <v>tryrun('msedge.exe --profile-directory=""')</v>
      </c>
    </row>
    <row r="194" spans="3:12" x14ac:dyDescent="0.25">
      <c r="G194" t="s">
        <v>272</v>
      </c>
      <c r="H194" t="s">
        <v>294</v>
      </c>
      <c r="I194" t="str">
        <f t="shared" si="6"/>
        <v xml:space="preserve">ep </v>
      </c>
      <c r="J194" t="str">
        <f t="shared" si="7"/>
        <v xml:space="preserve">Edge pr. </v>
      </c>
      <c r="L194" t="str">
        <f t="shared" si="8"/>
        <v>tryrun('msedge.exe --profile-directory=""')</v>
      </c>
    </row>
    <row r="195" spans="3:12" x14ac:dyDescent="0.25">
      <c r="G195" t="s">
        <v>272</v>
      </c>
      <c r="H195" t="s">
        <v>294</v>
      </c>
      <c r="I195" t="str">
        <f t="shared" si="6"/>
        <v xml:space="preserve">ep </v>
      </c>
      <c r="J195" t="str">
        <f t="shared" si="7"/>
        <v xml:space="preserve">Edge pr. </v>
      </c>
      <c r="L195" t="str">
        <f t="shared" si="8"/>
        <v>tryrun('msedge.exe --profile-directory=""')</v>
      </c>
    </row>
    <row r="196" spans="3:12" x14ac:dyDescent="0.25">
      <c r="C196" t="str" cm="1">
        <f t="array" ref="C196">IF(ISNUMBER(SEARCH("\",B196)),INDEX(_xlfn.TEXTSPLIT(B196,"\"),6),"")</f>
        <v/>
      </c>
      <c r="D196" t="str" cm="1">
        <f t="array" ref="D196">IF(ISBLANK(B197),"",INDEX(_xlfn.TEXTSPLIT(B197,"    "),4))</f>
        <v/>
      </c>
      <c r="G196" t="s">
        <v>272</v>
      </c>
      <c r="H196" t="s">
        <v>294</v>
      </c>
      <c r="I196" t="str">
        <f t="shared" si="6"/>
        <v xml:space="preserve">ep </v>
      </c>
      <c r="J196" t="str">
        <f t="shared" si="7"/>
        <v xml:space="preserve">Edge pr. </v>
      </c>
      <c r="L196" t="str">
        <f t="shared" si="8"/>
        <v>tryrun('msedge.exe --profile-directory=""')</v>
      </c>
    </row>
    <row r="197" spans="3:12" x14ac:dyDescent="0.25">
      <c r="G197" t="s">
        <v>272</v>
      </c>
      <c r="H197" t="s">
        <v>294</v>
      </c>
      <c r="I197" t="str">
        <f t="shared" ref="I197:I225" si="9">"ep " &amp; LOWER(LEFT(F197,3))</f>
        <v xml:space="preserve">ep </v>
      </c>
      <c r="J197" t="str">
        <f t="shared" ref="J197:J225" si="10">"Edge pr. " &amp;F197</f>
        <v xml:space="preserve">Edge pr. </v>
      </c>
      <c r="L197" t="str">
        <f t="shared" ref="L197:L225" si="11">"tryrun('msedge.exe --profile-directory="""&amp;E197&amp;"""')"</f>
        <v>tryrun('msedge.exe --profile-directory=""')</v>
      </c>
    </row>
    <row r="198" spans="3:12" x14ac:dyDescent="0.25">
      <c r="G198" t="s">
        <v>272</v>
      </c>
      <c r="H198" t="s">
        <v>294</v>
      </c>
      <c r="I198" t="str">
        <f t="shared" si="9"/>
        <v xml:space="preserve">ep </v>
      </c>
      <c r="J198" t="str">
        <f t="shared" si="10"/>
        <v xml:space="preserve">Edge pr. </v>
      </c>
      <c r="L198" t="str">
        <f t="shared" si="11"/>
        <v>tryrun('msedge.exe --profile-directory=""')</v>
      </c>
    </row>
    <row r="199" spans="3:12" x14ac:dyDescent="0.25">
      <c r="C199" t="str" cm="1">
        <f t="array" ref="C199">IF(ISNUMBER(SEARCH("\",B199)),INDEX(_xlfn.TEXTSPLIT(B199,"\"),6),"")</f>
        <v/>
      </c>
      <c r="D199" t="str" cm="1">
        <f t="array" ref="D199">IF(ISBLANK(B200),"",INDEX(_xlfn.TEXTSPLIT(B200,"    "),4))</f>
        <v/>
      </c>
      <c r="G199" t="s">
        <v>272</v>
      </c>
      <c r="H199" t="s">
        <v>294</v>
      </c>
      <c r="I199" t="str">
        <f t="shared" si="9"/>
        <v xml:space="preserve">ep </v>
      </c>
      <c r="J199" t="str">
        <f t="shared" si="10"/>
        <v xml:space="preserve">Edge pr. </v>
      </c>
      <c r="L199" t="str">
        <f t="shared" si="11"/>
        <v>tryrun('msedge.exe --profile-directory=""')</v>
      </c>
    </row>
    <row r="200" spans="3:12" x14ac:dyDescent="0.25">
      <c r="G200" t="s">
        <v>272</v>
      </c>
      <c r="H200" t="s">
        <v>294</v>
      </c>
      <c r="I200" t="str">
        <f t="shared" si="9"/>
        <v xml:space="preserve">ep </v>
      </c>
      <c r="J200" t="str">
        <f t="shared" si="10"/>
        <v xml:space="preserve">Edge pr. </v>
      </c>
      <c r="L200" t="str">
        <f t="shared" si="11"/>
        <v>tryrun('msedge.exe --profile-directory=""')</v>
      </c>
    </row>
    <row r="201" spans="3:12" x14ac:dyDescent="0.25">
      <c r="G201" t="s">
        <v>272</v>
      </c>
      <c r="H201" t="s">
        <v>294</v>
      </c>
      <c r="I201" t="str">
        <f t="shared" si="9"/>
        <v xml:space="preserve">ep </v>
      </c>
      <c r="J201" t="str">
        <f t="shared" si="10"/>
        <v xml:space="preserve">Edge pr. </v>
      </c>
      <c r="L201" t="str">
        <f t="shared" si="11"/>
        <v>tryrun('msedge.exe --profile-directory=""')</v>
      </c>
    </row>
    <row r="202" spans="3:12" x14ac:dyDescent="0.25">
      <c r="C202" t="str" cm="1">
        <f t="array" ref="C202">IF(ISNUMBER(SEARCH("\",B202)),INDEX(_xlfn.TEXTSPLIT(B202,"\"),6),"")</f>
        <v/>
      </c>
      <c r="D202" t="str" cm="1">
        <f t="array" ref="D202">IF(ISBLANK(B203),"",INDEX(_xlfn.TEXTSPLIT(B203,"    "),4))</f>
        <v/>
      </c>
      <c r="G202" t="s">
        <v>272</v>
      </c>
      <c r="H202" t="s">
        <v>294</v>
      </c>
      <c r="I202" t="str">
        <f t="shared" si="9"/>
        <v xml:space="preserve">ep </v>
      </c>
      <c r="J202" t="str">
        <f t="shared" si="10"/>
        <v xml:space="preserve">Edge pr. </v>
      </c>
      <c r="L202" t="str">
        <f t="shared" si="11"/>
        <v>tryrun('msedge.exe --profile-directory=""')</v>
      </c>
    </row>
    <row r="203" spans="3:12" x14ac:dyDescent="0.25">
      <c r="G203" t="s">
        <v>272</v>
      </c>
      <c r="H203" t="s">
        <v>294</v>
      </c>
      <c r="I203" t="str">
        <f t="shared" si="9"/>
        <v xml:space="preserve">ep </v>
      </c>
      <c r="J203" t="str">
        <f t="shared" si="10"/>
        <v xml:space="preserve">Edge pr. </v>
      </c>
      <c r="L203" t="str">
        <f t="shared" si="11"/>
        <v>tryrun('msedge.exe --profile-directory=""')</v>
      </c>
    </row>
    <row r="204" spans="3:12" x14ac:dyDescent="0.25">
      <c r="G204" t="s">
        <v>272</v>
      </c>
      <c r="H204" t="s">
        <v>294</v>
      </c>
      <c r="I204" t="str">
        <f t="shared" si="9"/>
        <v xml:space="preserve">ep </v>
      </c>
      <c r="J204" t="str">
        <f t="shared" si="10"/>
        <v xml:space="preserve">Edge pr. </v>
      </c>
      <c r="L204" t="str">
        <f t="shared" si="11"/>
        <v>tryrun('msedge.exe --profile-directory=""')</v>
      </c>
    </row>
    <row r="205" spans="3:12" x14ac:dyDescent="0.25">
      <c r="C205" t="str" cm="1">
        <f t="array" ref="C205">IF(ISNUMBER(SEARCH("\",B205)),INDEX(_xlfn.TEXTSPLIT(B205,"\"),6),"")</f>
        <v/>
      </c>
      <c r="D205" t="str" cm="1">
        <f t="array" ref="D205">IF(ISBLANK(B206),"",INDEX(_xlfn.TEXTSPLIT(B206,"    "),4))</f>
        <v/>
      </c>
      <c r="G205" t="s">
        <v>272</v>
      </c>
      <c r="H205" t="s">
        <v>294</v>
      </c>
      <c r="I205" t="str">
        <f t="shared" si="9"/>
        <v xml:space="preserve">ep </v>
      </c>
      <c r="J205" t="str">
        <f t="shared" si="10"/>
        <v xml:space="preserve">Edge pr. </v>
      </c>
      <c r="L205" t="str">
        <f t="shared" si="11"/>
        <v>tryrun('msedge.exe --profile-directory=""')</v>
      </c>
    </row>
    <row r="206" spans="3:12" x14ac:dyDescent="0.25">
      <c r="G206" t="s">
        <v>272</v>
      </c>
      <c r="H206" t="s">
        <v>294</v>
      </c>
      <c r="I206" t="str">
        <f t="shared" si="9"/>
        <v xml:space="preserve">ep </v>
      </c>
      <c r="J206" t="str">
        <f t="shared" si="10"/>
        <v xml:space="preserve">Edge pr. </v>
      </c>
      <c r="L206" t="str">
        <f t="shared" si="11"/>
        <v>tryrun('msedge.exe --profile-directory=""')</v>
      </c>
    </row>
    <row r="207" spans="3:12" x14ac:dyDescent="0.25">
      <c r="G207" t="s">
        <v>272</v>
      </c>
      <c r="H207" t="s">
        <v>294</v>
      </c>
      <c r="I207" t="str">
        <f t="shared" si="9"/>
        <v xml:space="preserve">ep </v>
      </c>
      <c r="J207" t="str">
        <f t="shared" si="10"/>
        <v xml:space="preserve">Edge pr. </v>
      </c>
      <c r="L207" t="str">
        <f t="shared" si="11"/>
        <v>tryrun('msedge.exe --profile-directory=""')</v>
      </c>
    </row>
    <row r="208" spans="3:12" x14ac:dyDescent="0.25">
      <c r="C208" t="str" cm="1">
        <f t="array" ref="C208">IF(ISNUMBER(SEARCH("\",B208)),INDEX(_xlfn.TEXTSPLIT(B208,"\"),6),"")</f>
        <v/>
      </c>
      <c r="D208" t="str" cm="1">
        <f t="array" ref="D208">IF(ISBLANK(B209),"",INDEX(_xlfn.TEXTSPLIT(B209,"    "),4))</f>
        <v/>
      </c>
      <c r="G208" t="s">
        <v>272</v>
      </c>
      <c r="H208" t="s">
        <v>294</v>
      </c>
      <c r="I208" t="str">
        <f t="shared" si="9"/>
        <v xml:space="preserve">ep </v>
      </c>
      <c r="J208" t="str">
        <f t="shared" si="10"/>
        <v xml:space="preserve">Edge pr. </v>
      </c>
      <c r="L208" t="str">
        <f t="shared" si="11"/>
        <v>tryrun('msedge.exe --profile-directory=""')</v>
      </c>
    </row>
    <row r="209" spans="3:12" x14ac:dyDescent="0.25">
      <c r="G209" t="s">
        <v>272</v>
      </c>
      <c r="H209" t="s">
        <v>294</v>
      </c>
      <c r="I209" t="str">
        <f t="shared" si="9"/>
        <v xml:space="preserve">ep </v>
      </c>
      <c r="J209" t="str">
        <f t="shared" si="10"/>
        <v xml:space="preserve">Edge pr. </v>
      </c>
      <c r="L209" t="str">
        <f t="shared" si="11"/>
        <v>tryrun('msedge.exe --profile-directory=""')</v>
      </c>
    </row>
    <row r="210" spans="3:12" x14ac:dyDescent="0.25">
      <c r="G210" t="s">
        <v>272</v>
      </c>
      <c r="H210" t="s">
        <v>294</v>
      </c>
      <c r="I210" t="str">
        <f t="shared" si="9"/>
        <v xml:space="preserve">ep </v>
      </c>
      <c r="J210" t="str">
        <f t="shared" si="10"/>
        <v xml:space="preserve">Edge pr. </v>
      </c>
      <c r="L210" t="str">
        <f t="shared" si="11"/>
        <v>tryrun('msedge.exe --profile-directory=""')</v>
      </c>
    </row>
    <row r="211" spans="3:12" x14ac:dyDescent="0.25">
      <c r="C211" t="str" cm="1">
        <f t="array" ref="C211">IF(ISNUMBER(SEARCH("\",B211)),INDEX(_xlfn.TEXTSPLIT(B211,"\"),6),"")</f>
        <v/>
      </c>
      <c r="D211" t="str" cm="1">
        <f t="array" ref="D211">IF(ISBLANK(B212),"",INDEX(_xlfn.TEXTSPLIT(B212,"    "),4))</f>
        <v/>
      </c>
      <c r="G211" t="s">
        <v>272</v>
      </c>
      <c r="H211" t="s">
        <v>294</v>
      </c>
      <c r="I211" t="str">
        <f t="shared" si="9"/>
        <v xml:space="preserve">ep </v>
      </c>
      <c r="J211" t="str">
        <f t="shared" si="10"/>
        <v xml:space="preserve">Edge pr. </v>
      </c>
      <c r="L211" t="str">
        <f t="shared" si="11"/>
        <v>tryrun('msedge.exe --profile-directory=""')</v>
      </c>
    </row>
    <row r="212" spans="3:12" x14ac:dyDescent="0.25">
      <c r="G212" t="s">
        <v>272</v>
      </c>
      <c r="H212" t="s">
        <v>294</v>
      </c>
      <c r="I212" t="str">
        <f t="shared" si="9"/>
        <v xml:space="preserve">ep </v>
      </c>
      <c r="J212" t="str">
        <f t="shared" si="10"/>
        <v xml:space="preserve">Edge pr. </v>
      </c>
      <c r="L212" t="str">
        <f t="shared" si="11"/>
        <v>tryrun('msedge.exe --profile-directory=""')</v>
      </c>
    </row>
    <row r="213" spans="3:12" x14ac:dyDescent="0.25">
      <c r="G213" t="s">
        <v>272</v>
      </c>
      <c r="H213" t="s">
        <v>294</v>
      </c>
      <c r="I213" t="str">
        <f t="shared" si="9"/>
        <v xml:space="preserve">ep </v>
      </c>
      <c r="J213" t="str">
        <f t="shared" si="10"/>
        <v xml:space="preserve">Edge pr. </v>
      </c>
      <c r="L213" t="str">
        <f t="shared" si="11"/>
        <v>tryrun('msedge.exe --profile-directory=""')</v>
      </c>
    </row>
    <row r="214" spans="3:12" x14ac:dyDescent="0.25">
      <c r="C214" t="str" cm="1">
        <f t="array" ref="C214">IF(ISNUMBER(SEARCH("\",B214)),INDEX(_xlfn.TEXTSPLIT(B214,"\"),6),"")</f>
        <v/>
      </c>
      <c r="D214" t="str" cm="1">
        <f t="array" ref="D214">IF(ISBLANK(B215),"",INDEX(_xlfn.TEXTSPLIT(B215,"    "),4))</f>
        <v/>
      </c>
      <c r="G214" t="s">
        <v>272</v>
      </c>
      <c r="H214" t="s">
        <v>294</v>
      </c>
      <c r="I214" t="str">
        <f t="shared" si="9"/>
        <v xml:space="preserve">ep </v>
      </c>
      <c r="J214" t="str">
        <f t="shared" si="10"/>
        <v xml:space="preserve">Edge pr. </v>
      </c>
      <c r="L214" t="str">
        <f t="shared" si="11"/>
        <v>tryrun('msedge.exe --profile-directory=""')</v>
      </c>
    </row>
    <row r="215" spans="3:12" x14ac:dyDescent="0.25">
      <c r="G215" t="s">
        <v>272</v>
      </c>
      <c r="H215" t="s">
        <v>294</v>
      </c>
      <c r="I215" t="str">
        <f t="shared" si="9"/>
        <v xml:space="preserve">ep </v>
      </c>
      <c r="J215" t="str">
        <f t="shared" si="10"/>
        <v xml:space="preserve">Edge pr. </v>
      </c>
      <c r="L215" t="str">
        <f t="shared" si="11"/>
        <v>tryrun('msedge.exe --profile-directory=""')</v>
      </c>
    </row>
    <row r="216" spans="3:12" x14ac:dyDescent="0.25">
      <c r="G216" t="s">
        <v>272</v>
      </c>
      <c r="H216" t="s">
        <v>294</v>
      </c>
      <c r="I216" t="str">
        <f t="shared" si="9"/>
        <v xml:space="preserve">ep </v>
      </c>
      <c r="J216" t="str">
        <f t="shared" si="10"/>
        <v xml:space="preserve">Edge pr. </v>
      </c>
      <c r="L216" t="str">
        <f t="shared" si="11"/>
        <v>tryrun('msedge.exe --profile-directory=""')</v>
      </c>
    </row>
    <row r="217" spans="3:12" x14ac:dyDescent="0.25">
      <c r="C217" t="str" cm="1">
        <f t="array" ref="C217">IF(ISNUMBER(SEARCH("\",B217)),INDEX(_xlfn.TEXTSPLIT(B217,"\"),6),"")</f>
        <v/>
      </c>
      <c r="D217" t="str" cm="1">
        <f t="array" ref="D217">IF(ISBLANK(B218),"",INDEX(_xlfn.TEXTSPLIT(B218,"    "),4))</f>
        <v/>
      </c>
      <c r="G217" t="s">
        <v>272</v>
      </c>
      <c r="H217" t="s">
        <v>294</v>
      </c>
      <c r="I217" t="str">
        <f t="shared" si="9"/>
        <v xml:space="preserve">ep </v>
      </c>
      <c r="J217" t="str">
        <f t="shared" si="10"/>
        <v xml:space="preserve">Edge pr. </v>
      </c>
      <c r="L217" t="str">
        <f t="shared" si="11"/>
        <v>tryrun('msedge.exe --profile-directory=""')</v>
      </c>
    </row>
    <row r="218" spans="3:12" x14ac:dyDescent="0.25">
      <c r="G218" t="s">
        <v>272</v>
      </c>
      <c r="H218" t="s">
        <v>294</v>
      </c>
      <c r="I218" t="str">
        <f t="shared" si="9"/>
        <v xml:space="preserve">ep </v>
      </c>
      <c r="J218" t="str">
        <f t="shared" si="10"/>
        <v xml:space="preserve">Edge pr. </v>
      </c>
      <c r="L218" t="str">
        <f t="shared" si="11"/>
        <v>tryrun('msedge.exe --profile-directory=""')</v>
      </c>
    </row>
    <row r="219" spans="3:12" x14ac:dyDescent="0.25">
      <c r="G219" t="s">
        <v>272</v>
      </c>
      <c r="H219" t="s">
        <v>294</v>
      </c>
      <c r="I219" t="str">
        <f t="shared" si="9"/>
        <v xml:space="preserve">ep </v>
      </c>
      <c r="J219" t="str">
        <f t="shared" si="10"/>
        <v xml:space="preserve">Edge pr. </v>
      </c>
      <c r="L219" t="str">
        <f t="shared" si="11"/>
        <v>tryrun('msedge.exe --profile-directory=""')</v>
      </c>
    </row>
    <row r="220" spans="3:12" x14ac:dyDescent="0.25">
      <c r="C220" t="str" cm="1">
        <f t="array" ref="C220">IF(ISNUMBER(SEARCH("\",B220)),INDEX(_xlfn.TEXTSPLIT(B220,"\"),6),"")</f>
        <v/>
      </c>
      <c r="D220" t="str" cm="1">
        <f t="array" ref="D220">IF(ISBLANK(B221),"",INDEX(_xlfn.TEXTSPLIT(B221,"    "),4))</f>
        <v/>
      </c>
      <c r="G220" t="s">
        <v>272</v>
      </c>
      <c r="H220" t="s">
        <v>294</v>
      </c>
      <c r="I220" t="str">
        <f t="shared" si="9"/>
        <v xml:space="preserve">ep </v>
      </c>
      <c r="J220" t="str">
        <f t="shared" si="10"/>
        <v xml:space="preserve">Edge pr. </v>
      </c>
      <c r="L220" t="str">
        <f t="shared" si="11"/>
        <v>tryrun('msedge.exe --profile-directory=""')</v>
      </c>
    </row>
    <row r="221" spans="3:12" x14ac:dyDescent="0.25">
      <c r="G221" t="s">
        <v>272</v>
      </c>
      <c r="H221" t="s">
        <v>294</v>
      </c>
      <c r="I221" t="str">
        <f t="shared" si="9"/>
        <v xml:space="preserve">ep </v>
      </c>
      <c r="J221" t="str">
        <f t="shared" si="10"/>
        <v xml:space="preserve">Edge pr. </v>
      </c>
      <c r="L221" t="str">
        <f t="shared" si="11"/>
        <v>tryrun('msedge.exe --profile-directory=""')</v>
      </c>
    </row>
    <row r="222" spans="3:12" x14ac:dyDescent="0.25">
      <c r="G222" t="s">
        <v>272</v>
      </c>
      <c r="H222" t="s">
        <v>294</v>
      </c>
      <c r="I222" t="str">
        <f t="shared" si="9"/>
        <v xml:space="preserve">ep </v>
      </c>
      <c r="J222" t="str">
        <f t="shared" si="10"/>
        <v xml:space="preserve">Edge pr. </v>
      </c>
      <c r="L222" t="str">
        <f t="shared" si="11"/>
        <v>tryrun('msedge.exe --profile-directory=""')</v>
      </c>
    </row>
    <row r="223" spans="3:12" x14ac:dyDescent="0.25">
      <c r="C223" t="str" cm="1">
        <f t="array" ref="C223">IF(ISNUMBER(SEARCH("\",B223)),INDEX(_xlfn.TEXTSPLIT(B223,"\"),6),"")</f>
        <v/>
      </c>
      <c r="D223" t="str" cm="1">
        <f t="array" ref="D223">IF(ISBLANK(B224),"",INDEX(_xlfn.TEXTSPLIT(B224,"    "),4))</f>
        <v/>
      </c>
      <c r="G223" t="s">
        <v>272</v>
      </c>
      <c r="H223" t="s">
        <v>294</v>
      </c>
      <c r="I223" t="str">
        <f t="shared" si="9"/>
        <v xml:space="preserve">ep </v>
      </c>
      <c r="J223" t="str">
        <f t="shared" si="10"/>
        <v xml:space="preserve">Edge pr. </v>
      </c>
      <c r="L223" t="str">
        <f t="shared" si="11"/>
        <v>tryrun('msedge.exe --profile-directory=""')</v>
      </c>
    </row>
    <row r="224" spans="3:12" x14ac:dyDescent="0.25">
      <c r="G224" t="s">
        <v>272</v>
      </c>
      <c r="H224" t="s">
        <v>294</v>
      </c>
      <c r="I224" t="str">
        <f t="shared" si="9"/>
        <v xml:space="preserve">ep </v>
      </c>
      <c r="J224" t="str">
        <f t="shared" si="10"/>
        <v xml:space="preserve">Edge pr. </v>
      </c>
      <c r="L224" t="str">
        <f t="shared" si="11"/>
        <v>tryrun('msedge.exe --profile-directory=""')</v>
      </c>
    </row>
    <row r="225" spans="3:12" x14ac:dyDescent="0.25">
      <c r="G225" t="s">
        <v>272</v>
      </c>
      <c r="H225" t="s">
        <v>294</v>
      </c>
      <c r="I225" t="str">
        <f t="shared" si="9"/>
        <v xml:space="preserve">ep </v>
      </c>
      <c r="J225" t="str">
        <f t="shared" si="10"/>
        <v xml:space="preserve">Edge pr. </v>
      </c>
      <c r="L225" t="str">
        <f t="shared" si="11"/>
        <v>tryrun('msedge.exe --profile-directory=""')</v>
      </c>
    </row>
    <row r="226" spans="3:12" x14ac:dyDescent="0.25">
      <c r="C226" t="str" cm="1">
        <f t="array" ref="C226">IF(ISNUMBER(SEARCH("\",B226)),INDEX(_xlfn.TEXTSPLIT(B226,"\"),6),"")</f>
        <v/>
      </c>
      <c r="D226" t="str" cm="1">
        <f t="array" ref="D226">IF(ISBLANK(B227),"",INDEX(_xlfn.TEXTSPLIT(B227,"    "),4))</f>
        <v/>
      </c>
    </row>
    <row r="229" spans="3:12" x14ac:dyDescent="0.25">
      <c r="C229" t="str" cm="1">
        <f t="array" ref="C229">IF(ISNUMBER(SEARCH("\",B229)),INDEX(_xlfn.TEXTSPLIT(B229,"\"),6),"")</f>
        <v/>
      </c>
      <c r="D229" t="str" cm="1">
        <f t="array" ref="D229">IF(ISBLANK(B230),"",INDEX(_xlfn.TEXTSPLIT(B230,"    "),4))</f>
        <v/>
      </c>
    </row>
    <row r="232" spans="3:12" x14ac:dyDescent="0.25">
      <c r="C232" t="str" cm="1">
        <f t="array" ref="C232">IF(ISNUMBER(SEARCH("\",B232)),INDEX(_xlfn.TEXTSPLIT(B232,"\"),6),"")</f>
        <v/>
      </c>
      <c r="D232" t="str" cm="1">
        <f t="array" ref="D232">IF(ISBLANK(B233),"",INDEX(_xlfn.TEXTSPLIT(B233,"    "),4))</f>
        <v/>
      </c>
    </row>
    <row r="235" spans="3:12" x14ac:dyDescent="0.25">
      <c r="C235" t="str" cm="1">
        <f t="array" ref="C235">IF(ISNUMBER(SEARCH("\",B235)),INDEX(_xlfn.TEXTSPLIT(B235,"\"),6),"")</f>
        <v/>
      </c>
      <c r="D235" t="str" cm="1">
        <f t="array" ref="D235">IF(ISBLANK(B236),"",INDEX(_xlfn.TEXTSPLIT(B236,"    "),4))</f>
        <v/>
      </c>
    </row>
    <row r="238" spans="3:12" x14ac:dyDescent="0.25">
      <c r="C238" t="str" cm="1">
        <f t="array" ref="C238">IF(ISNUMBER(SEARCH("\",B238)),INDEX(_xlfn.TEXTSPLIT(B238,"\"),6),"")</f>
        <v/>
      </c>
      <c r="D238" t="str" cm="1">
        <f t="array" ref="D238">IF(ISBLANK(B239),"",INDEX(_xlfn.TEXTSPLIT(B239,"    "),4))</f>
        <v/>
      </c>
    </row>
    <row r="241" spans="3:4" x14ac:dyDescent="0.25">
      <c r="C241" t="str" cm="1">
        <f t="array" ref="C241">IF(ISNUMBER(SEARCH("\",B241)),INDEX(_xlfn.TEXTSPLIT(B241,"\"),6),"")</f>
        <v/>
      </c>
      <c r="D241" t="str" cm="1">
        <f t="array" ref="D241">IF(ISBLANK(B242),"",INDEX(_xlfn.TEXTSPLIT(B242,"    "),4))</f>
        <v/>
      </c>
    </row>
    <row r="244" spans="3:4" x14ac:dyDescent="0.25">
      <c r="C244" t="str" cm="1">
        <f t="array" ref="C244">IF(ISNUMBER(SEARCH("\",B244)),INDEX(_xlfn.TEXTSPLIT(B244,"\"),6),"")</f>
        <v/>
      </c>
      <c r="D244" t="str" cm="1">
        <f t="array" ref="D244">IF(ISBLANK(B245),"",INDEX(_xlfn.TEXTSPLIT(B245,"    "),4))</f>
        <v/>
      </c>
    </row>
    <row r="247" spans="3:4" x14ac:dyDescent="0.25">
      <c r="C247" t="str" cm="1">
        <f t="array" ref="C247">IF(ISNUMBER(SEARCH("\",B247)),INDEX(_xlfn.TEXTSPLIT(B247,"\"),6),"")</f>
        <v/>
      </c>
      <c r="D247" t="str" cm="1">
        <f t="array" ref="D247">IF(ISBLANK(B248),"",INDEX(_xlfn.TEXTSPLIT(B248,"    "),4))</f>
        <v/>
      </c>
    </row>
    <row r="250" spans="3:4" x14ac:dyDescent="0.25">
      <c r="C250" t="str" cm="1">
        <f t="array" ref="C250">IF(ISNUMBER(SEARCH("\",B250)),INDEX(_xlfn.TEXTSPLIT(B250,"\"),6),"")</f>
        <v/>
      </c>
      <c r="D250" t="str" cm="1">
        <f t="array" ref="D250">IF(ISBLANK(B251),"",INDEX(_xlfn.TEXTSPLIT(B251,"    "),4))</f>
        <v/>
      </c>
    </row>
    <row r="253" spans="3:4" x14ac:dyDescent="0.25">
      <c r="C253" t="str" cm="1">
        <f t="array" ref="C253">IF(ISNUMBER(SEARCH("\",B253)),INDEX(_xlfn.TEXTSPLIT(B253,"\"),6),"")</f>
        <v/>
      </c>
      <c r="D253" t="str" cm="1">
        <f t="array" ref="D253">IF(ISBLANK(B254),"",INDEX(_xlfn.TEXTSPLIT(B254,"    "),4))</f>
        <v/>
      </c>
    </row>
    <row r="256" spans="3:4" x14ac:dyDescent="0.25">
      <c r="C256" t="str" cm="1">
        <f t="array" ref="C256">IF(ISNUMBER(SEARCH("\",B256)),INDEX(_xlfn.TEXTSPLIT(B256,"\"),6),"")</f>
        <v/>
      </c>
      <c r="D256" t="str" cm="1">
        <f t="array" ref="D256">IF(ISBLANK(B257),"",INDEX(_xlfn.TEXTSPLIT(B257,"    "),4))</f>
        <v/>
      </c>
    </row>
    <row r="259" spans="3:4" x14ac:dyDescent="0.25">
      <c r="C259" t="str" cm="1">
        <f t="array" ref="C259">IF(ISNUMBER(SEARCH("\",B259)),INDEX(_xlfn.TEXTSPLIT(B259,"\"),6),"")</f>
        <v/>
      </c>
      <c r="D259" t="str" cm="1">
        <f t="array" ref="D259">IF(ISBLANK(B260),"",INDEX(_xlfn.TEXTSPLIT(B260,"    "),4))</f>
        <v/>
      </c>
    </row>
    <row r="262" spans="3:4" x14ac:dyDescent="0.25">
      <c r="C262" t="str" cm="1">
        <f t="array" ref="C262">IF(ISNUMBER(SEARCH("\",B262)),INDEX(_xlfn.TEXTSPLIT(B262,"\"),6),"")</f>
        <v/>
      </c>
      <c r="D262" t="str" cm="1">
        <f t="array" ref="D262">IF(ISBLANK(B263),"",INDEX(_xlfn.TEXTSPLIT(B263,"    "),4))</f>
        <v/>
      </c>
    </row>
    <row r="265" spans="3:4" x14ac:dyDescent="0.25">
      <c r="C265" t="str" cm="1">
        <f t="array" ref="C265">IF(ISNUMBER(SEARCH("\",B265)),INDEX(_xlfn.TEXTSPLIT(B265,"\"),6),"")</f>
        <v/>
      </c>
      <c r="D265" t="str" cm="1">
        <f t="array" ref="D265">IF(ISBLANK(B266),"",INDEX(_xlfn.TEXTSPLIT(B266,"    "),4))</f>
        <v/>
      </c>
    </row>
    <row r="268" spans="3:4" x14ac:dyDescent="0.25">
      <c r="C268" t="str" cm="1">
        <f t="array" ref="C268">IF(ISNUMBER(SEARCH("\",B268)),INDEX(_xlfn.TEXTSPLIT(B268,"\"),6),"")</f>
        <v/>
      </c>
      <c r="D268" t="str" cm="1">
        <f t="array" ref="D268">IF(ISBLANK(B269),"",INDEX(_xlfn.TEXTSPLIT(B269,"    "),4))</f>
        <v/>
      </c>
    </row>
    <row r="271" spans="3:4" x14ac:dyDescent="0.25">
      <c r="C271" t="str" cm="1">
        <f t="array" ref="C271">IF(ISNUMBER(SEARCH("\",B271)),INDEX(_xlfn.TEXTSPLIT(B271,"\"),6),"")</f>
        <v/>
      </c>
      <c r="D271" t="str" cm="1">
        <f t="array" ref="D271">IF(ISBLANK(B272),"",INDEX(_xlfn.TEXTSPLIT(B272,"    "),4))</f>
        <v/>
      </c>
    </row>
    <row r="274" spans="3:4" x14ac:dyDescent="0.25">
      <c r="C274" t="str" cm="1">
        <f t="array" ref="C274">IF(ISNUMBER(SEARCH("\",B274)),INDEX(_xlfn.TEXTSPLIT(B274,"\"),6),"")</f>
        <v/>
      </c>
      <c r="D274" t="str" cm="1">
        <f t="array" ref="D274">IF(ISBLANK(B275),"",INDEX(_xlfn.TEXTSPLIT(B275,"    "),4))</f>
        <v/>
      </c>
    </row>
    <row r="277" spans="3:4" x14ac:dyDescent="0.25">
      <c r="C277" t="str" cm="1">
        <f t="array" ref="C277">IF(ISNUMBER(SEARCH("\",B277)),INDEX(_xlfn.TEXTSPLIT(B277,"\"),6),"")</f>
        <v/>
      </c>
      <c r="D277" t="str" cm="1">
        <f t="array" ref="D277">IF(ISBLANK(B278),"",INDEX(_xlfn.TEXTSPLIT(B278,"    "),4))</f>
        <v/>
      </c>
    </row>
    <row r="280" spans="3:4" x14ac:dyDescent="0.25">
      <c r="C280" t="str" cm="1">
        <f t="array" ref="C280">IF(ISNUMBER(SEARCH("\",B280)),INDEX(_xlfn.TEXTSPLIT(B280,"\"),6),"")</f>
        <v/>
      </c>
      <c r="D280" t="str" cm="1">
        <f t="array" ref="D280">IF(ISBLANK(B281),"",INDEX(_xlfn.TEXTSPLIT(B281,"    "),4))</f>
        <v/>
      </c>
    </row>
    <row r="283" spans="3:4" x14ac:dyDescent="0.25">
      <c r="C283" t="str" cm="1">
        <f t="array" ref="C283">IF(ISNUMBER(SEARCH("\",B283)),INDEX(_xlfn.TEXTSPLIT(B283,"\"),6),"")</f>
        <v/>
      </c>
      <c r="D283" t="str" cm="1">
        <f t="array" ref="D283">IF(ISBLANK(B284),"",INDEX(_xlfn.TEXTSPLIT(B284,"    "),4))</f>
        <v/>
      </c>
    </row>
    <row r="286" spans="3:4" x14ac:dyDescent="0.25">
      <c r="C286" t="str" cm="1">
        <f t="array" ref="C286">IF(ISNUMBER(SEARCH("\",B286)),INDEX(_xlfn.TEXTSPLIT(B286,"\"),6),"")</f>
        <v/>
      </c>
      <c r="D286" t="str" cm="1">
        <f t="array" ref="D286">IF(ISBLANK(B287),"",INDEX(_xlfn.TEXTSPLIT(B287,"    "),4))</f>
        <v/>
      </c>
    </row>
    <row r="289" spans="3:4" x14ac:dyDescent="0.25">
      <c r="C289" t="str" cm="1">
        <f t="array" ref="C289">IF(ISNUMBER(SEARCH("\",B289)),INDEX(_xlfn.TEXTSPLIT(B289,"\"),6),"")</f>
        <v/>
      </c>
      <c r="D289" t="str" cm="1">
        <f t="array" ref="D289">IF(ISBLANK(B290),"",INDEX(_xlfn.TEXTSPLIT(B290,"    "),4))</f>
        <v/>
      </c>
    </row>
    <row r="292" spans="3:4" x14ac:dyDescent="0.25">
      <c r="C292" t="str" cm="1">
        <f t="array" ref="C292">IF(ISNUMBER(SEARCH("\",B292)),INDEX(_xlfn.TEXTSPLIT(B292,"\"),6),"")</f>
        <v/>
      </c>
      <c r="D292" t="str" cm="1">
        <f t="array" ref="D292">IF(ISBLANK(B293),"",INDEX(_xlfn.TEXTSPLIT(B293,"    "),4))</f>
        <v/>
      </c>
    </row>
    <row r="295" spans="3:4" x14ac:dyDescent="0.25">
      <c r="C295" t="str" cm="1">
        <f t="array" ref="C295">IF(ISNUMBER(SEARCH("\",B295)),INDEX(_xlfn.TEXTSPLIT(B295,"\"),6),"")</f>
        <v/>
      </c>
      <c r="D295" t="str" cm="1">
        <f t="array" ref="D295">IF(ISBLANK(B296),"",INDEX(_xlfn.TEXTSPLIT(B296,"    "),4))</f>
        <v/>
      </c>
    </row>
    <row r="298" spans="3:4" x14ac:dyDescent="0.25">
      <c r="C298" t="str" cm="1">
        <f t="array" ref="C298">IF(ISNUMBER(SEARCH("\",B298)),INDEX(_xlfn.TEXTSPLIT(B298,"\"),6),"")</f>
        <v/>
      </c>
      <c r="D298" t="str" cm="1">
        <f t="array" ref="D298">IF(ISBLANK(B299),"",INDEX(_xlfn.TEXTSPLIT(B299,"    "),4))</f>
        <v/>
      </c>
    </row>
    <row r="301" spans="3:4" x14ac:dyDescent="0.25">
      <c r="C301" t="str" cm="1">
        <f t="array" ref="C301">IF(ISNUMBER(SEARCH("\",B301)),INDEX(_xlfn.TEXTSPLIT(B301,"\"),6),"")</f>
        <v/>
      </c>
      <c r="D301" t="str" cm="1">
        <f t="array" ref="D301">IF(ISBLANK(B302),"",INDEX(_xlfn.TEXTSPLIT(B302,"    "),4))</f>
        <v/>
      </c>
    </row>
    <row r="304" spans="3:4" x14ac:dyDescent="0.25">
      <c r="C304" t="str" cm="1">
        <f t="array" ref="C304">IF(ISNUMBER(SEARCH("\",B304)),INDEX(_xlfn.TEXTSPLIT(B304,"\"),6),"")</f>
        <v/>
      </c>
      <c r="D304" t="str" cm="1">
        <f t="array" ref="D304">IF(ISBLANK(B305),"",INDEX(_xlfn.TEXTSPLIT(B305,"    "),4))</f>
        <v/>
      </c>
    </row>
    <row r="307" spans="3:4" x14ac:dyDescent="0.25">
      <c r="C307" t="str" cm="1">
        <f t="array" ref="C307">IF(ISNUMBER(SEARCH("\",B307)),INDEX(_xlfn.TEXTSPLIT(B307,"\"),6),"")</f>
        <v/>
      </c>
      <c r="D307" t="str" cm="1">
        <f t="array" ref="D307">IF(ISBLANK(B308),"",INDEX(_xlfn.TEXTSPLIT(B308,"    "),4))</f>
        <v/>
      </c>
    </row>
    <row r="310" spans="3:4" x14ac:dyDescent="0.25">
      <c r="C310" t="str" cm="1">
        <f t="array" ref="C310">IF(ISNUMBER(SEARCH("\",B310)),INDEX(_xlfn.TEXTSPLIT(B310,"\"),6),"")</f>
        <v/>
      </c>
      <c r="D310" t="str" cm="1">
        <f t="array" ref="D310">IF(ISBLANK(B311),"",INDEX(_xlfn.TEXTSPLIT(B311,"    "),4))</f>
        <v/>
      </c>
    </row>
    <row r="313" spans="3:4" x14ac:dyDescent="0.25">
      <c r="C313" t="str" cm="1">
        <f t="array" ref="C313">IF(ISNUMBER(SEARCH("\",B313)),INDEX(_xlfn.TEXTSPLIT(B313,"\"),6),"")</f>
        <v/>
      </c>
      <c r="D313" t="str" cm="1">
        <f t="array" ref="D313">IF(ISBLANK(B314),"",INDEX(_xlfn.TEXTSPLIT(B314,"    "),4))</f>
        <v/>
      </c>
    </row>
    <row r="316" spans="3:4" x14ac:dyDescent="0.25">
      <c r="C316" t="str" cm="1">
        <f t="array" ref="C316">IF(ISNUMBER(SEARCH("\",B316)),INDEX(_xlfn.TEXTSPLIT(B316,"\"),6),"")</f>
        <v/>
      </c>
      <c r="D316" t="str" cm="1">
        <f t="array" ref="D316">IF(ISBLANK(B317),"",INDEX(_xlfn.TEXTSPLIT(B317,"    "),4))</f>
        <v/>
      </c>
    </row>
    <row r="319" spans="3:4" x14ac:dyDescent="0.25">
      <c r="C319" t="str" cm="1">
        <f t="array" ref="C319">IF(ISNUMBER(SEARCH("\",B319)),INDEX(_xlfn.TEXTSPLIT(B319,"\"),6),"")</f>
        <v/>
      </c>
      <c r="D319" t="str" cm="1">
        <f t="array" ref="D319">IF(ISBLANK(B320),"",INDEX(_xlfn.TEXTSPLIT(B320,"    "),4))</f>
        <v/>
      </c>
    </row>
    <row r="322" spans="3:4" x14ac:dyDescent="0.25">
      <c r="C322" t="str" cm="1">
        <f t="array" ref="C322">IF(ISNUMBER(SEARCH("\",B322)),INDEX(_xlfn.TEXTSPLIT(B322,"\"),6),"")</f>
        <v/>
      </c>
      <c r="D322" t="str" cm="1">
        <f t="array" ref="D322">IF(ISBLANK(B323),"",INDEX(_xlfn.TEXTSPLIT(B323,"    "),4))</f>
        <v/>
      </c>
    </row>
    <row r="325" spans="3:4" x14ac:dyDescent="0.25">
      <c r="C325" t="str" cm="1">
        <f t="array" ref="C325">IF(ISNUMBER(SEARCH("\",B325)),INDEX(_xlfn.TEXTSPLIT(B325,"\"),6),"")</f>
        <v/>
      </c>
      <c r="D325" t="str" cm="1">
        <f t="array" ref="D325">IF(ISBLANK(B326),"",INDEX(_xlfn.TEXTSPLIT(B326,"    "),4))</f>
        <v/>
      </c>
    </row>
    <row r="328" spans="3:4" x14ac:dyDescent="0.25">
      <c r="C328" t="str" cm="1">
        <f t="array" ref="C328">IF(ISNUMBER(SEARCH("\",B328)),INDEX(_xlfn.TEXTSPLIT(B328,"\"),6),"")</f>
        <v/>
      </c>
      <c r="D328" t="str" cm="1">
        <f t="array" ref="D328">IF(ISBLANK(B329),"",INDEX(_xlfn.TEXTSPLIT(B329,"    "),4))</f>
        <v/>
      </c>
    </row>
    <row r="331" spans="3:4" x14ac:dyDescent="0.25">
      <c r="C331" t="str" cm="1">
        <f t="array" ref="C331">IF(ISNUMBER(SEARCH("\",B331)),INDEX(_xlfn.TEXTSPLIT(B331,"\"),6),"")</f>
        <v/>
      </c>
      <c r="D331" t="str" cm="1">
        <f t="array" ref="D331">IF(ISBLANK(B332),"",INDEX(_xlfn.TEXTSPLIT(B332,"    "),4))</f>
        <v/>
      </c>
    </row>
    <row r="334" spans="3:4" x14ac:dyDescent="0.25">
      <c r="C334" t="str" cm="1">
        <f t="array" ref="C334">IF(ISNUMBER(SEARCH("\",B334)),INDEX(_xlfn.TEXTSPLIT(B334,"\"),6),"")</f>
        <v/>
      </c>
      <c r="D334" t="str" cm="1">
        <f t="array" ref="D334">IF(ISBLANK(B335),"",INDEX(_xlfn.TEXTSPLIT(B335,"    "),4))</f>
        <v/>
      </c>
    </row>
    <row r="337" spans="3:4" x14ac:dyDescent="0.25">
      <c r="C337" t="str" cm="1">
        <f t="array" ref="C337">IF(ISNUMBER(SEARCH("\",B337)),INDEX(_xlfn.TEXTSPLIT(B337,"\"),6),"")</f>
        <v/>
      </c>
      <c r="D337" t="str" cm="1">
        <f t="array" ref="D337">IF(ISBLANK(B338),"",INDEX(_xlfn.TEXTSPLIT(B338,"    "),4))</f>
        <v/>
      </c>
    </row>
    <row r="340" spans="3:4" x14ac:dyDescent="0.25">
      <c r="C340" t="str" cm="1">
        <f t="array" ref="C340">IF(ISNUMBER(SEARCH("\",B340)),INDEX(_xlfn.TEXTSPLIT(B340,"\"),6),"")</f>
        <v/>
      </c>
      <c r="D340" t="str" cm="1">
        <f t="array" ref="D340">IF(ISBLANK(B341),"",INDEX(_xlfn.TEXTSPLIT(B341,"    "),4))</f>
        <v/>
      </c>
    </row>
    <row r="343" spans="3:4" x14ac:dyDescent="0.25">
      <c r="C343" t="str" cm="1">
        <f t="array" ref="C343">IF(ISNUMBER(SEARCH("\",B343)),INDEX(_xlfn.TEXTSPLIT(B343,"\"),6),"")</f>
        <v/>
      </c>
      <c r="D343" t="str" cm="1">
        <f t="array" ref="D343">IF(ISBLANK(B344),"",INDEX(_xlfn.TEXTSPLIT(B344,"    "),4))</f>
        <v/>
      </c>
    </row>
    <row r="346" spans="3:4" x14ac:dyDescent="0.25">
      <c r="C346" t="str" cm="1">
        <f t="array" ref="C346">IF(ISNUMBER(SEARCH("\",B346)),INDEX(_xlfn.TEXTSPLIT(B346,"\"),6),"")</f>
        <v/>
      </c>
      <c r="D346" t="str" cm="1">
        <f t="array" ref="D346">IF(ISBLANK(B347),"",INDEX(_xlfn.TEXTSPLIT(B347,"    "),4))</f>
        <v/>
      </c>
    </row>
    <row r="349" spans="3:4" x14ac:dyDescent="0.25">
      <c r="C349" t="str" cm="1">
        <f t="array" ref="C349">IF(ISNUMBER(SEARCH("\",B349)),INDEX(_xlfn.TEXTSPLIT(B349,"\"),6),"")</f>
        <v/>
      </c>
      <c r="D349" t="str" cm="1">
        <f t="array" ref="D349">IF(ISBLANK(B350),"",INDEX(_xlfn.TEXTSPLIT(B350,"    "),4))</f>
        <v/>
      </c>
    </row>
    <row r="352" spans="3:4" x14ac:dyDescent="0.25">
      <c r="C352" t="str" cm="1">
        <f t="array" ref="C352">IF(ISNUMBER(SEARCH("\",B352)),INDEX(_xlfn.TEXTSPLIT(B352,"\"),6),"")</f>
        <v/>
      </c>
      <c r="D352" t="str" cm="1">
        <f t="array" ref="D352">IF(ISBLANK(B353),"",INDEX(_xlfn.TEXTSPLIT(B353,"    "),4))</f>
        <v/>
      </c>
    </row>
    <row r="355" spans="3:4" x14ac:dyDescent="0.25">
      <c r="C355" t="str" cm="1">
        <f t="array" ref="C355">IF(ISNUMBER(SEARCH("\",B355)),INDEX(_xlfn.TEXTSPLIT(B355,"\"),6),"")</f>
        <v/>
      </c>
      <c r="D355" t="str" cm="1">
        <f t="array" ref="D355">IF(ISBLANK(B356),"",INDEX(_xlfn.TEXTSPLIT(B356,"    "),4))</f>
        <v/>
      </c>
    </row>
    <row r="358" spans="3:4" x14ac:dyDescent="0.25">
      <c r="C358" t="str" cm="1">
        <f t="array" ref="C358">IF(ISNUMBER(SEARCH("\",B358)),INDEX(_xlfn.TEXTSPLIT(B358,"\"),6),"")</f>
        <v/>
      </c>
      <c r="D358" t="str" cm="1">
        <f t="array" ref="D358">IF(ISBLANK(B359),"",INDEX(_xlfn.TEXTSPLIT(B359,"    "),4))</f>
        <v/>
      </c>
    </row>
    <row r="361" spans="3:4" x14ac:dyDescent="0.25">
      <c r="C361" t="str" cm="1">
        <f t="array" ref="C361">IF(ISNUMBER(SEARCH("\",B361)),INDEX(_xlfn.TEXTSPLIT(B361,"\"),6),"")</f>
        <v/>
      </c>
      <c r="D361" t="str" cm="1">
        <f t="array" ref="D361">IF(ISBLANK(B362),"",INDEX(_xlfn.TEXTSPLIT(B362,"    "),4))</f>
        <v/>
      </c>
    </row>
    <row r="364" spans="3:4" x14ac:dyDescent="0.25">
      <c r="C364" t="str" cm="1">
        <f t="array" ref="C364">IF(ISNUMBER(SEARCH("\",B364)),INDEX(_xlfn.TEXTSPLIT(B364,"\"),6),"")</f>
        <v/>
      </c>
      <c r="D364" t="str" cm="1">
        <f t="array" ref="D364">IF(ISBLANK(B365),"",INDEX(_xlfn.TEXTSPLIT(B365,"    "),4))</f>
        <v/>
      </c>
    </row>
    <row r="367" spans="3:4" x14ac:dyDescent="0.25">
      <c r="C367" t="str" cm="1">
        <f t="array" ref="C367">IF(ISNUMBER(SEARCH("\",B367)),INDEX(_xlfn.TEXTSPLIT(B367,"\"),6),"")</f>
        <v/>
      </c>
      <c r="D367" t="str" cm="1">
        <f t="array" ref="D367">IF(ISBLANK(B368),"",INDEX(_xlfn.TEXTSPLIT(B368,"    "),4))</f>
        <v/>
      </c>
    </row>
    <row r="370" spans="3:4" x14ac:dyDescent="0.25">
      <c r="C370" t="str" cm="1">
        <f t="array" ref="C370">IF(ISNUMBER(SEARCH("\",B370)),INDEX(_xlfn.TEXTSPLIT(B370,"\"),6),"")</f>
        <v/>
      </c>
      <c r="D370" t="str" cm="1">
        <f t="array" ref="D370">IF(ISBLANK(B371),"",INDEX(_xlfn.TEXTSPLIT(B371,"    "),4))</f>
        <v/>
      </c>
    </row>
    <row r="373" spans="3:4" x14ac:dyDescent="0.25">
      <c r="C373" t="str" cm="1">
        <f t="array" ref="C373">IF(ISNUMBER(SEARCH("\",B373)),INDEX(_xlfn.TEXTSPLIT(B373,"\"),6),"")</f>
        <v/>
      </c>
      <c r="D373" t="str" cm="1">
        <f t="array" ref="D373">IF(ISBLANK(B374),"",INDEX(_xlfn.TEXTSPLIT(B374,"    "),4))</f>
        <v/>
      </c>
    </row>
    <row r="376" spans="3:4" x14ac:dyDescent="0.25">
      <c r="C376" t="str" cm="1">
        <f t="array" ref="C376">IF(ISNUMBER(SEARCH("\",B376)),INDEX(_xlfn.TEXTSPLIT(B376,"\"),6),"")</f>
        <v/>
      </c>
      <c r="D376" t="str" cm="1">
        <f t="array" ref="D376">IF(ISBLANK(B377),"",INDEX(_xlfn.TEXTSPLIT(B377,"    "),4))</f>
        <v/>
      </c>
    </row>
    <row r="379" spans="3:4" x14ac:dyDescent="0.25">
      <c r="C379" t="str" cm="1">
        <f t="array" ref="C379">IF(ISNUMBER(SEARCH("\",B379)),INDEX(_xlfn.TEXTSPLIT(B379,"\"),6),"")</f>
        <v/>
      </c>
      <c r="D379" t="str" cm="1">
        <f t="array" ref="D379">IF(ISBLANK(B380),"",INDEX(_xlfn.TEXTSPLIT(B380,"    "),4))</f>
        <v/>
      </c>
    </row>
    <row r="382" spans="3:4" x14ac:dyDescent="0.25">
      <c r="C382" t="str" cm="1">
        <f t="array" ref="C382">IF(ISNUMBER(SEARCH("\",B382)),INDEX(_xlfn.TEXTSPLIT(B382,"\"),6),"")</f>
        <v/>
      </c>
      <c r="D382" t="str" cm="1">
        <f t="array" ref="D382">IF(ISBLANK(B383),"",INDEX(_xlfn.TEXTSPLIT(B383,"    "),4))</f>
        <v/>
      </c>
    </row>
    <row r="385" spans="3:4" x14ac:dyDescent="0.25">
      <c r="C385" t="str" cm="1">
        <f t="array" ref="C385">IF(ISNUMBER(SEARCH("\",B385)),INDEX(_xlfn.TEXTSPLIT(B385,"\"),6),"")</f>
        <v/>
      </c>
      <c r="D385" t="str" cm="1">
        <f t="array" ref="D385">IF(ISBLANK(B386),"",INDEX(_xlfn.TEXTSPLIT(B386,"    "),4))</f>
        <v/>
      </c>
    </row>
    <row r="388" spans="3:4" x14ac:dyDescent="0.25">
      <c r="C388" t="str" cm="1">
        <f t="array" ref="C388">IF(ISNUMBER(SEARCH("\",B388)),INDEX(_xlfn.TEXTSPLIT(B388,"\"),6),"")</f>
        <v/>
      </c>
      <c r="D388" t="str" cm="1">
        <f t="array" ref="D388">IF(ISBLANK(B389),"",INDEX(_xlfn.TEXTSPLIT(B389,"    "),4))</f>
        <v/>
      </c>
    </row>
    <row r="391" spans="3:4" x14ac:dyDescent="0.25">
      <c r="C391" t="str" cm="1">
        <f t="array" ref="C391">IF(ISNUMBER(SEARCH("\",B391)),INDEX(_xlfn.TEXTSPLIT(B391,"\"),6),"")</f>
        <v/>
      </c>
      <c r="D391" t="str" cm="1">
        <f t="array" ref="D391">IF(ISBLANK(B392),"",INDEX(_xlfn.TEXTSPLIT(B392,"    "),4))</f>
        <v/>
      </c>
    </row>
    <row r="394" spans="3:4" x14ac:dyDescent="0.25">
      <c r="C394" t="str" cm="1">
        <f t="array" ref="C394">IF(ISNUMBER(SEARCH("\",B394)),INDEX(_xlfn.TEXTSPLIT(B394,"\"),6),"")</f>
        <v/>
      </c>
      <c r="D394" t="str" cm="1">
        <f t="array" ref="D394">IF(ISBLANK(B395),"",INDEX(_xlfn.TEXTSPLIT(B395,"    "),4))</f>
        <v/>
      </c>
    </row>
    <row r="397" spans="3:4" x14ac:dyDescent="0.25">
      <c r="C397" t="str" cm="1">
        <f t="array" ref="C397">IF(ISNUMBER(SEARCH("\",B397)),INDEX(_xlfn.TEXTSPLIT(B397,"\"),6),"")</f>
        <v/>
      </c>
      <c r="D397" t="str" cm="1">
        <f t="array" ref="D397">IF(ISBLANK(B398),"",INDEX(_xlfn.TEXTSPLIT(B398,"    "),4))</f>
        <v/>
      </c>
    </row>
    <row r="400" spans="3:4" x14ac:dyDescent="0.25">
      <c r="C400" t="str" cm="1">
        <f t="array" ref="C400">IF(ISNUMBER(SEARCH("\",B400)),INDEX(_xlfn.TEXTSPLIT(B400,"\"),6),"")</f>
        <v/>
      </c>
      <c r="D400" t="str" cm="1">
        <f t="array" ref="D400">IF(ISBLANK(B401),"",INDEX(_xlfn.TEXTSPLIT(B401,"    "),4))</f>
        <v/>
      </c>
    </row>
    <row r="403" spans="3:4" x14ac:dyDescent="0.25">
      <c r="C403" t="str" cm="1">
        <f t="array" ref="C403">IF(ISNUMBER(SEARCH("\",B403)),INDEX(_xlfn.TEXTSPLIT(B403,"\"),6),"")</f>
        <v/>
      </c>
      <c r="D403" t="str" cm="1">
        <f t="array" ref="D403">IF(ISBLANK(B404),"",INDEX(_xlfn.TEXTSPLIT(B404,"    "),4))</f>
        <v/>
      </c>
    </row>
    <row r="406" spans="3:4" x14ac:dyDescent="0.25">
      <c r="C406" t="str" cm="1">
        <f t="array" ref="C406">IF(ISNUMBER(SEARCH("\",B406)),INDEX(_xlfn.TEXTSPLIT(B406,"\"),6),"")</f>
        <v/>
      </c>
      <c r="D406" t="str" cm="1">
        <f t="array" ref="D406">IF(ISBLANK(B407),"",INDEX(_xlfn.TEXTSPLIT(B407,"    "),4))</f>
        <v/>
      </c>
    </row>
    <row r="409" spans="3:4" x14ac:dyDescent="0.25">
      <c r="C409" t="str" cm="1">
        <f t="array" ref="C409">IF(ISNUMBER(SEARCH("\",B409)),INDEX(_xlfn.TEXTSPLIT(B409,"\"),6),"")</f>
        <v/>
      </c>
      <c r="D409" t="str" cm="1">
        <f t="array" ref="D409">IF(ISBLANK(B410),"",INDEX(_xlfn.TEXTSPLIT(B410,"    "),4))</f>
        <v/>
      </c>
    </row>
    <row r="412" spans="3:4" x14ac:dyDescent="0.25">
      <c r="C412" t="str" cm="1">
        <f t="array" ref="C412">IF(ISNUMBER(SEARCH("\",B412)),INDEX(_xlfn.TEXTSPLIT(B412,"\"),6),"")</f>
        <v/>
      </c>
      <c r="D412" t="str" cm="1">
        <f t="array" ref="D412">IF(ISBLANK(B413),"",INDEX(_xlfn.TEXTSPLIT(B413,"    "),4))</f>
        <v/>
      </c>
    </row>
    <row r="415" spans="3:4" x14ac:dyDescent="0.25">
      <c r="C415" t="str" cm="1">
        <f t="array" ref="C415">IF(ISNUMBER(SEARCH("\",B415)),INDEX(_xlfn.TEXTSPLIT(B415,"\"),6),"")</f>
        <v/>
      </c>
      <c r="D415" t="str" cm="1">
        <f t="array" ref="D415">IF(ISBLANK(B416),"",INDEX(_xlfn.TEXTSPLIT(B416,"    "),4))</f>
        <v/>
      </c>
    </row>
    <row r="418" spans="3:4" x14ac:dyDescent="0.25">
      <c r="C418" t="str" cm="1">
        <f t="array" ref="C418">IF(ISNUMBER(SEARCH("\",B418)),INDEX(_xlfn.TEXTSPLIT(B418,"\"),6),"")</f>
        <v/>
      </c>
      <c r="D418" t="str" cm="1">
        <f t="array" ref="D418">IF(ISBLANK(B419),"",INDEX(_xlfn.TEXTSPLIT(B419,"    "),4))</f>
        <v/>
      </c>
    </row>
    <row r="421" spans="3:4" x14ac:dyDescent="0.25">
      <c r="C421" t="str" cm="1">
        <f t="array" ref="C421">IF(ISNUMBER(SEARCH("\",B421)),INDEX(_xlfn.TEXTSPLIT(B421,"\"),6),"")</f>
        <v/>
      </c>
      <c r="D421" t="str" cm="1">
        <f t="array" ref="D421">IF(ISBLANK(B422),"",INDEX(_xlfn.TEXTSPLIT(B422,"    "),4))</f>
        <v/>
      </c>
    </row>
    <row r="424" spans="3:4" x14ac:dyDescent="0.25">
      <c r="C424" t="str" cm="1">
        <f t="array" ref="C424">IF(ISNUMBER(SEARCH("\",B424)),INDEX(_xlfn.TEXTSPLIT(B424,"\"),6),"")</f>
        <v/>
      </c>
      <c r="D424" t="str" cm="1">
        <f t="array" ref="D424">IF(ISBLANK(B425),"",INDEX(_xlfn.TEXTSPLIT(B425,"    "),4))</f>
        <v/>
      </c>
    </row>
    <row r="427" spans="3:4" x14ac:dyDescent="0.25">
      <c r="C427" t="str" cm="1">
        <f t="array" ref="C427">IF(ISNUMBER(SEARCH("\",B427)),INDEX(_xlfn.TEXTSPLIT(B427,"\"),6),"")</f>
        <v/>
      </c>
      <c r="D427" t="str" cm="1">
        <f t="array" ref="D427">IF(ISBLANK(B428),"",INDEX(_xlfn.TEXTSPLIT(B428,"    "),4))</f>
        <v/>
      </c>
    </row>
    <row r="430" spans="3:4" x14ac:dyDescent="0.25">
      <c r="C430" t="str" cm="1">
        <f t="array" ref="C430">IF(ISNUMBER(SEARCH("\",B430)),INDEX(_xlfn.TEXTSPLIT(B430,"\"),6),"")</f>
        <v/>
      </c>
      <c r="D430" t="str" cm="1">
        <f t="array" ref="D430">IF(ISBLANK(B431),"",INDEX(_xlfn.TEXTSPLIT(B431,"    "),4))</f>
        <v/>
      </c>
    </row>
    <row r="433" spans="3:4" x14ac:dyDescent="0.25">
      <c r="C433" t="str" cm="1">
        <f t="array" ref="C433">IF(ISNUMBER(SEARCH("\",B433)),INDEX(_xlfn.TEXTSPLIT(B433,"\"),6),"")</f>
        <v/>
      </c>
      <c r="D433" t="str" cm="1">
        <f t="array" ref="D433">IF(ISBLANK(B434),"",INDEX(_xlfn.TEXTSPLIT(B434,"    "),4))</f>
        <v/>
      </c>
    </row>
    <row r="436" spans="3:4" x14ac:dyDescent="0.25">
      <c r="C436" t="str" cm="1">
        <f t="array" ref="C436">IF(ISNUMBER(SEARCH("\",B436)),INDEX(_xlfn.TEXTSPLIT(B436,"\"),6),"")</f>
        <v/>
      </c>
      <c r="D436" t="str" cm="1">
        <f t="array" ref="D436">IF(ISBLANK(B437),"",INDEX(_xlfn.TEXTSPLIT(B437,"    "),4))</f>
        <v/>
      </c>
    </row>
    <row r="439" spans="3:4" x14ac:dyDescent="0.25">
      <c r="C439" t="str" cm="1">
        <f t="array" ref="C439">IF(ISNUMBER(SEARCH("\",B439)),INDEX(_xlfn.TEXTSPLIT(B439,"\"),6),"")</f>
        <v/>
      </c>
      <c r="D439" t="str" cm="1">
        <f t="array" ref="D439">IF(ISBLANK(B440),"",INDEX(_xlfn.TEXTSPLIT(B440,"    "),4))</f>
        <v/>
      </c>
    </row>
    <row r="442" spans="3:4" x14ac:dyDescent="0.25">
      <c r="C442" t="str" cm="1">
        <f t="array" ref="C442">IF(ISNUMBER(SEARCH("\",B442)),INDEX(_xlfn.TEXTSPLIT(B442,"\"),6),"")</f>
        <v/>
      </c>
      <c r="D442" t="str" cm="1">
        <f t="array" ref="D442">IF(ISBLANK(B443),"",INDEX(_xlfn.TEXTSPLIT(B443,"    "),4))</f>
        <v/>
      </c>
    </row>
    <row r="445" spans="3:4" x14ac:dyDescent="0.25">
      <c r="C445" t="str" cm="1">
        <f t="array" ref="C445">IF(ISNUMBER(SEARCH("\",B445)),INDEX(_xlfn.TEXTSPLIT(B445,"\"),6),"")</f>
        <v/>
      </c>
      <c r="D445" t="str" cm="1">
        <f t="array" ref="D445">IF(ISBLANK(B446),"",INDEX(_xlfn.TEXTSPLIT(B446,"    "),4))</f>
        <v/>
      </c>
    </row>
    <row r="448" spans="3:4" x14ac:dyDescent="0.25">
      <c r="C448" t="str" cm="1">
        <f t="array" ref="C448">IF(ISNUMBER(SEARCH("\",B448)),INDEX(_xlfn.TEXTSPLIT(B448,"\"),6),"")</f>
        <v/>
      </c>
      <c r="D448" t="str" cm="1">
        <f t="array" ref="D448">IF(ISBLANK(B449),"",INDEX(_xlfn.TEXTSPLIT(B449,"    "),4))</f>
        <v/>
      </c>
    </row>
    <row r="451" spans="3:4" x14ac:dyDescent="0.25">
      <c r="C451" t="str" cm="1">
        <f t="array" ref="C451">IF(ISNUMBER(SEARCH("\",B451)),INDEX(_xlfn.TEXTSPLIT(B451,"\"),6),"")</f>
        <v/>
      </c>
      <c r="D451" t="str" cm="1">
        <f t="array" ref="D451">IF(ISBLANK(B452),"",INDEX(_xlfn.TEXTSPLIT(B452,"    "),4))</f>
        <v/>
      </c>
    </row>
    <row r="454" spans="3:4" x14ac:dyDescent="0.25">
      <c r="C454" t="str" cm="1">
        <f t="array" ref="C454">IF(ISNUMBER(SEARCH("\",B454)),INDEX(_xlfn.TEXTSPLIT(B454,"\"),6),"")</f>
        <v/>
      </c>
      <c r="D454" t="str" cm="1">
        <f t="array" ref="D454">IF(ISBLANK(B455),"",INDEX(_xlfn.TEXTSPLIT(B455,"    "),4))</f>
        <v/>
      </c>
    </row>
    <row r="457" spans="3:4" x14ac:dyDescent="0.25">
      <c r="C457" t="str" cm="1">
        <f t="array" ref="C457">IF(ISNUMBER(SEARCH("\",B457)),INDEX(_xlfn.TEXTSPLIT(B457,"\"),6),"")</f>
        <v/>
      </c>
      <c r="D457" t="str" cm="1">
        <f t="array" ref="D457">IF(ISBLANK(B458),"",INDEX(_xlfn.TEXTSPLIT(B458,"    "),4))</f>
        <v/>
      </c>
    </row>
    <row r="460" spans="3:4" x14ac:dyDescent="0.25">
      <c r="C460" t="str" cm="1">
        <f t="array" ref="C460">IF(ISNUMBER(SEARCH("\",B460)),INDEX(_xlfn.TEXTSPLIT(B460,"\"),6),"")</f>
        <v/>
      </c>
      <c r="D460" t="str" cm="1">
        <f t="array" ref="D460">IF(ISBLANK(B461),"",INDEX(_xlfn.TEXTSPLIT(B461,"    "),4))</f>
        <v/>
      </c>
    </row>
    <row r="463" spans="3:4" x14ac:dyDescent="0.25">
      <c r="C463" t="str" cm="1">
        <f t="array" ref="C463">IF(ISNUMBER(SEARCH("\",B463)),INDEX(_xlfn.TEXTSPLIT(B463,"\"),6),"")</f>
        <v/>
      </c>
      <c r="D463" t="str" cm="1">
        <f t="array" ref="D463">IF(ISBLANK(B464),"",INDEX(_xlfn.TEXTSPLIT(B464,"    "),4))</f>
        <v/>
      </c>
    </row>
    <row r="466" spans="3:4" x14ac:dyDescent="0.25">
      <c r="C466" t="str" cm="1">
        <f t="array" ref="C466">IF(ISNUMBER(SEARCH("\",B466)),INDEX(_xlfn.TEXTSPLIT(B466,"\"),6),"")</f>
        <v/>
      </c>
      <c r="D466" t="str" cm="1">
        <f t="array" ref="D466">IF(ISBLANK(B467),"",INDEX(_xlfn.TEXTSPLIT(B467,"    "),4))</f>
        <v/>
      </c>
    </row>
    <row r="469" spans="3:4" x14ac:dyDescent="0.25">
      <c r="C469" t="str" cm="1">
        <f t="array" ref="C469">IF(ISNUMBER(SEARCH("\",B469)),INDEX(_xlfn.TEXTSPLIT(B469,"\"),6),"")</f>
        <v/>
      </c>
      <c r="D469" t="str" cm="1">
        <f t="array" ref="D469">IF(ISBLANK(B470),"",INDEX(_xlfn.TEXTSPLIT(B470,"    "),4))</f>
        <v/>
      </c>
    </row>
    <row r="472" spans="3:4" x14ac:dyDescent="0.25">
      <c r="C472" t="str" cm="1">
        <f t="array" ref="C472">IF(ISNUMBER(SEARCH("\",B472)),INDEX(_xlfn.TEXTSPLIT(B472,"\"),6),"")</f>
        <v/>
      </c>
      <c r="D472" t="str" cm="1">
        <f t="array" ref="D472">IF(ISBLANK(B473),"",INDEX(_xlfn.TEXTSPLIT(B473,"    "),4))</f>
        <v/>
      </c>
    </row>
    <row r="475" spans="3:4" x14ac:dyDescent="0.25">
      <c r="C475" t="str" cm="1">
        <f t="array" ref="C475">IF(ISNUMBER(SEARCH("\",B475)),INDEX(_xlfn.TEXTSPLIT(B475,"\"),6),"")</f>
        <v/>
      </c>
      <c r="D475" t="str" cm="1">
        <f t="array" ref="D475">IF(ISBLANK(B476),"",INDEX(_xlfn.TEXTSPLIT(B476,"    "),4))</f>
        <v/>
      </c>
    </row>
    <row r="478" spans="3:4" x14ac:dyDescent="0.25">
      <c r="C478" t="str" cm="1">
        <f t="array" ref="C478">IF(ISNUMBER(SEARCH("\",B478)),INDEX(_xlfn.TEXTSPLIT(B478,"\"),6),"")</f>
        <v/>
      </c>
      <c r="D478" t="str" cm="1">
        <f t="array" ref="D478">IF(ISBLANK(B479),"",INDEX(_xlfn.TEXTSPLIT(B479,"    "),4))</f>
        <v/>
      </c>
    </row>
    <row r="481" spans="3:4" x14ac:dyDescent="0.25">
      <c r="C481" t="str" cm="1">
        <f t="array" ref="C481">IF(ISNUMBER(SEARCH("\",B481)),INDEX(_xlfn.TEXTSPLIT(B481,"\"),6),"")</f>
        <v/>
      </c>
      <c r="D481" t="str" cm="1">
        <f t="array" ref="D481">IF(ISBLANK(B482),"",INDEX(_xlfn.TEXTSPLIT(B482,"    "),4))</f>
        <v/>
      </c>
    </row>
    <row r="484" spans="3:4" x14ac:dyDescent="0.25">
      <c r="C484" t="str" cm="1">
        <f t="array" ref="C484">IF(ISNUMBER(SEARCH("\",B484)),INDEX(_xlfn.TEXTSPLIT(B484,"\"),6),"")</f>
        <v/>
      </c>
      <c r="D484" t="str" cm="1">
        <f t="array" ref="D484">IF(ISBLANK(B485),"",INDEX(_xlfn.TEXTSPLIT(B485,"    "),4))</f>
        <v/>
      </c>
    </row>
    <row r="487" spans="3:4" x14ac:dyDescent="0.25">
      <c r="C487" t="str" cm="1">
        <f t="array" ref="C487">IF(ISNUMBER(SEARCH("\",B487)),INDEX(_xlfn.TEXTSPLIT(B487,"\"),6),"")</f>
        <v/>
      </c>
      <c r="D487" t="str" cm="1">
        <f t="array" ref="D487">IF(ISBLANK(B488),"",INDEX(_xlfn.TEXTSPLIT(B488,"    "),4))</f>
        <v/>
      </c>
    </row>
    <row r="490" spans="3:4" x14ac:dyDescent="0.25">
      <c r="C490" t="str" cm="1">
        <f t="array" ref="C490">IF(ISNUMBER(SEARCH("\",B490)),INDEX(_xlfn.TEXTSPLIT(B490,"\"),6),"")</f>
        <v/>
      </c>
      <c r="D490" t="str" cm="1">
        <f t="array" ref="D490">IF(ISBLANK(B491),"",INDEX(_xlfn.TEXTSPLIT(B491,"    "),4))</f>
        <v/>
      </c>
    </row>
    <row r="493" spans="3:4" x14ac:dyDescent="0.25">
      <c r="C493" t="str" cm="1">
        <f t="array" ref="C493">IF(ISNUMBER(SEARCH("\",B493)),INDEX(_xlfn.TEXTSPLIT(B493,"\"),6),"")</f>
        <v/>
      </c>
      <c r="D493" t="str" cm="1">
        <f t="array" ref="D493">IF(ISBLANK(B494),"",INDEX(_xlfn.TEXTSPLIT(B494,"    "),4))</f>
        <v/>
      </c>
    </row>
    <row r="496" spans="3:4" x14ac:dyDescent="0.25">
      <c r="C496" t="str" cm="1">
        <f t="array" ref="C496">IF(ISNUMBER(SEARCH("\",B496)),INDEX(_xlfn.TEXTSPLIT(B496,"\"),6),"")</f>
        <v/>
      </c>
      <c r="D496" t="str" cm="1">
        <f t="array" ref="D496">IF(ISBLANK(B497),"",INDEX(_xlfn.TEXTSPLIT(B497,"    "),4))</f>
        <v/>
      </c>
    </row>
    <row r="499" spans="3:4" x14ac:dyDescent="0.25">
      <c r="C499" t="str" cm="1">
        <f t="array" ref="C499">IF(ISNUMBER(SEARCH("\",B499)),INDEX(_xlfn.TEXTSPLIT(B499,"\"),6),"")</f>
        <v/>
      </c>
      <c r="D499" t="str" cm="1">
        <f t="array" ref="D499">IF(ISBLANK(B500),"",INDEX(_xlfn.TEXTSPLIT(B500,"    "),4))</f>
        <v/>
      </c>
    </row>
    <row r="502" spans="3:4" x14ac:dyDescent="0.25">
      <c r="C502" t="str" cm="1">
        <f t="array" ref="C502">IF(ISNUMBER(SEARCH("\",B502)),INDEX(_xlfn.TEXTSPLIT(B502,"\"),6),"")</f>
        <v/>
      </c>
      <c r="D502" t="str" cm="1">
        <f t="array" ref="D502">IF(ISBLANK(B503),"",INDEX(_xlfn.TEXTSPLIT(B503,"    "),4))</f>
        <v/>
      </c>
    </row>
    <row r="505" spans="3:4" x14ac:dyDescent="0.25">
      <c r="C505" t="str" cm="1">
        <f t="array" ref="C505">IF(ISNUMBER(SEARCH("\",B505)),INDEX(_xlfn.TEXTSPLIT(B505,"\"),6),"")</f>
        <v/>
      </c>
      <c r="D505" t="str" cm="1">
        <f t="array" ref="D505">IF(ISBLANK(B506),"",INDEX(_xlfn.TEXTSPLIT(B506,"    "),4))</f>
        <v/>
      </c>
    </row>
    <row r="508" spans="3:4" x14ac:dyDescent="0.25">
      <c r="C508" t="str" cm="1">
        <f t="array" ref="C508">IF(ISNUMBER(SEARCH("\",B508)),INDEX(_xlfn.TEXTSPLIT(B508,"\"),6),"")</f>
        <v/>
      </c>
      <c r="D508" t="str" cm="1">
        <f t="array" ref="D508">IF(ISBLANK(B509),"",INDEX(_xlfn.TEXTSPLIT(B509,"    "),4))</f>
        <v/>
      </c>
    </row>
    <row r="511" spans="3:4" x14ac:dyDescent="0.25">
      <c r="C511" t="str" cm="1">
        <f t="array" ref="C511">IF(ISNUMBER(SEARCH("\",B511)),INDEX(_xlfn.TEXTSPLIT(B511,"\"),6),"")</f>
        <v/>
      </c>
      <c r="D511" t="str" cm="1">
        <f t="array" ref="D511">IF(ISBLANK(B512),"",INDEX(_xlfn.TEXTSPLIT(B512,"    "),4))</f>
        <v/>
      </c>
    </row>
    <row r="514" spans="3:4" x14ac:dyDescent="0.25">
      <c r="C514" t="str" cm="1">
        <f t="array" ref="C514">IF(ISNUMBER(SEARCH("\",B514)),INDEX(_xlfn.TEXTSPLIT(B514,"\"),6),"")</f>
        <v/>
      </c>
      <c r="D514" t="str" cm="1">
        <f t="array" ref="D514">IF(ISBLANK(B515),"",INDEX(_xlfn.TEXTSPLIT(B515,"    "),4))</f>
        <v/>
      </c>
    </row>
    <row r="517" spans="3:4" x14ac:dyDescent="0.25">
      <c r="C517" t="str" cm="1">
        <f t="array" ref="C517">IF(ISNUMBER(SEARCH("\",B517)),INDEX(_xlfn.TEXTSPLIT(B517,"\"),6),"")</f>
        <v/>
      </c>
      <c r="D517" t="str" cm="1">
        <f t="array" ref="D517">IF(ISBLANK(B518),"",INDEX(_xlfn.TEXTSPLIT(B518,"    "),4))</f>
        <v/>
      </c>
    </row>
    <row r="520" spans="3:4" x14ac:dyDescent="0.25">
      <c r="C520" t="str" cm="1">
        <f t="array" ref="C520">IF(ISNUMBER(SEARCH("\",B520)),INDEX(_xlfn.TEXTSPLIT(B520,"\"),6),"")</f>
        <v/>
      </c>
      <c r="D520" t="str" cm="1">
        <f t="array" ref="D520">IF(ISBLANK(B521),"",INDEX(_xlfn.TEXTSPLIT(B521,"    "),4))</f>
        <v/>
      </c>
    </row>
    <row r="523" spans="3:4" x14ac:dyDescent="0.25">
      <c r="C523" t="str" cm="1">
        <f t="array" ref="C523">IF(ISNUMBER(SEARCH("\",B523)),INDEX(_xlfn.TEXTSPLIT(B523,"\"),6),"")</f>
        <v/>
      </c>
      <c r="D523" t="str" cm="1">
        <f t="array" ref="D523">IF(ISBLANK(B524),"",INDEX(_xlfn.TEXTSPLIT(B524,"    "),4))</f>
        <v/>
      </c>
    </row>
    <row r="526" spans="3:4" x14ac:dyDescent="0.25">
      <c r="C526" t="str" cm="1">
        <f t="array" ref="C526">IF(ISNUMBER(SEARCH("\",B526)),INDEX(_xlfn.TEXTSPLIT(B526,"\"),6),"")</f>
        <v/>
      </c>
      <c r="D526" t="str" cm="1">
        <f t="array" ref="D526">IF(ISBLANK(B527),"",INDEX(_xlfn.TEXTSPLIT(B527,"    "),4))</f>
        <v/>
      </c>
    </row>
    <row r="529" spans="3:4" x14ac:dyDescent="0.25">
      <c r="C529" t="str" cm="1">
        <f t="array" ref="C529">IF(ISNUMBER(SEARCH("\",B529)),INDEX(_xlfn.TEXTSPLIT(B529,"\"),6),"")</f>
        <v/>
      </c>
      <c r="D529" t="str" cm="1">
        <f t="array" ref="D529">IF(ISBLANK(B530),"",INDEX(_xlfn.TEXTSPLIT(B530,"    "),4))</f>
        <v/>
      </c>
    </row>
    <row r="532" spans="3:4" x14ac:dyDescent="0.25">
      <c r="C532" t="str" cm="1">
        <f t="array" ref="C532">IF(ISNUMBER(SEARCH("\",B532)),INDEX(_xlfn.TEXTSPLIT(B532,"\"),6),"")</f>
        <v/>
      </c>
      <c r="D532" t="str" cm="1">
        <f t="array" ref="D532">IF(ISBLANK(B533),"",INDEX(_xlfn.TEXTSPLIT(B533,"    "),4))</f>
        <v/>
      </c>
    </row>
    <row r="535" spans="3:4" x14ac:dyDescent="0.25">
      <c r="C535" t="str" cm="1">
        <f t="array" ref="C535">IF(ISNUMBER(SEARCH("\",B535)),INDEX(_xlfn.TEXTSPLIT(B535,"\"),6),"")</f>
        <v/>
      </c>
      <c r="D535" t="str" cm="1">
        <f t="array" ref="D535">IF(ISBLANK(B536),"",INDEX(_xlfn.TEXTSPLIT(B536,"    "),4))</f>
        <v/>
      </c>
    </row>
    <row r="538" spans="3:4" x14ac:dyDescent="0.25">
      <c r="C538" t="str" cm="1">
        <f t="array" ref="C538">IF(ISNUMBER(SEARCH("\",B538)),INDEX(_xlfn.TEXTSPLIT(B538,"\"),6),"")</f>
        <v/>
      </c>
      <c r="D538" t="str" cm="1">
        <f t="array" ref="D538">IF(ISBLANK(B539),"",INDEX(_xlfn.TEXTSPLIT(B539,"    "),4))</f>
        <v/>
      </c>
    </row>
    <row r="541" spans="3:4" x14ac:dyDescent="0.25">
      <c r="C541" t="str" cm="1">
        <f t="array" ref="C541">IF(ISNUMBER(SEARCH("\",B541)),INDEX(_xlfn.TEXTSPLIT(B541,"\"),6),"")</f>
        <v/>
      </c>
      <c r="D541" t="str" cm="1">
        <f t="array" ref="D541">IF(ISBLANK(B542),"",INDEX(_xlfn.TEXTSPLIT(B542,"    "),4))</f>
        <v/>
      </c>
    </row>
    <row r="544" spans="3:4" x14ac:dyDescent="0.25">
      <c r="C544" t="str" cm="1">
        <f t="array" ref="C544">IF(ISNUMBER(SEARCH("\",B544)),INDEX(_xlfn.TEXTSPLIT(B544,"\"),6),"")</f>
        <v/>
      </c>
      <c r="D544" t="str" cm="1">
        <f t="array" ref="D544">IF(ISBLANK(B545),"",INDEX(_xlfn.TEXTSPLIT(B545,"    "),4))</f>
        <v/>
      </c>
    </row>
    <row r="547" spans="3:4" x14ac:dyDescent="0.25">
      <c r="C547" t="str" cm="1">
        <f t="array" ref="C547">IF(ISNUMBER(SEARCH("\",B547)),INDEX(_xlfn.TEXTSPLIT(B547,"\"),6),"")</f>
        <v/>
      </c>
      <c r="D547" t="str" cm="1">
        <f t="array" ref="D547">IF(ISBLANK(B548),"",INDEX(_xlfn.TEXTSPLIT(B548,"    "),4))</f>
        <v/>
      </c>
    </row>
    <row r="550" spans="3:4" x14ac:dyDescent="0.25">
      <c r="C550" t="str" cm="1">
        <f t="array" ref="C550">IF(ISNUMBER(SEARCH("\",B550)),INDEX(_xlfn.TEXTSPLIT(B550,"\"),6),"")</f>
        <v/>
      </c>
      <c r="D550" t="str" cm="1">
        <f t="array" ref="D550">IF(ISBLANK(B551),"",INDEX(_xlfn.TEXTSPLIT(B551,"    "),4))</f>
        <v/>
      </c>
    </row>
    <row r="553" spans="3:4" x14ac:dyDescent="0.25">
      <c r="C553" t="str" cm="1">
        <f t="array" ref="C553">IF(ISNUMBER(SEARCH("\",B553)),INDEX(_xlfn.TEXTSPLIT(B553,"\"),6),"")</f>
        <v/>
      </c>
      <c r="D553" t="str" cm="1">
        <f t="array" ref="D553">IF(ISBLANK(B554),"",INDEX(_xlfn.TEXTSPLIT(B554,"    "),4))</f>
        <v/>
      </c>
    </row>
    <row r="556" spans="3:4" x14ac:dyDescent="0.25">
      <c r="C556" t="str" cm="1">
        <f t="array" ref="C556">IF(ISNUMBER(SEARCH("\",B556)),INDEX(_xlfn.TEXTSPLIT(B556,"\"),6),"")</f>
        <v/>
      </c>
      <c r="D556" t="str" cm="1">
        <f t="array" ref="D556">IF(ISBLANK(B557),"",INDEX(_xlfn.TEXTSPLIT(B557,"    "),4))</f>
        <v/>
      </c>
    </row>
    <row r="559" spans="3:4" x14ac:dyDescent="0.25">
      <c r="C559" t="str" cm="1">
        <f t="array" ref="C559">IF(ISNUMBER(SEARCH("\",B559)),INDEX(_xlfn.TEXTSPLIT(B559,"\"),6),"")</f>
        <v/>
      </c>
      <c r="D559" t="str" cm="1">
        <f t="array" ref="D559">IF(ISBLANK(B560),"",INDEX(_xlfn.TEXTSPLIT(B560,"    "),4))</f>
        <v/>
      </c>
    </row>
    <row r="562" spans="3:4" x14ac:dyDescent="0.25">
      <c r="C562" t="str" cm="1">
        <f t="array" ref="C562">IF(ISNUMBER(SEARCH("\",B562)),INDEX(_xlfn.TEXTSPLIT(B562,"\"),6),"")</f>
        <v/>
      </c>
      <c r="D562" t="str" cm="1">
        <f t="array" ref="D562">IF(ISBLANK(B563),"",INDEX(_xlfn.TEXTSPLIT(B563,"    "),4))</f>
        <v/>
      </c>
    </row>
    <row r="565" spans="3:4" x14ac:dyDescent="0.25">
      <c r="C565" t="str" cm="1">
        <f t="array" ref="C565">IF(ISNUMBER(SEARCH("\",B565)),INDEX(_xlfn.TEXTSPLIT(B565,"\"),6),"")</f>
        <v/>
      </c>
      <c r="D565" t="str" cm="1">
        <f t="array" ref="D565">IF(ISBLANK(B566),"",INDEX(_xlfn.TEXTSPLIT(B566,"    "),4))</f>
        <v/>
      </c>
    </row>
    <row r="568" spans="3:4" x14ac:dyDescent="0.25">
      <c r="C568" t="str" cm="1">
        <f t="array" ref="C568">IF(ISNUMBER(SEARCH("\",B568)),INDEX(_xlfn.TEXTSPLIT(B568,"\"),6),"")</f>
        <v/>
      </c>
      <c r="D568" t="str" cm="1">
        <f t="array" ref="D568">IF(ISBLANK(B569),"",INDEX(_xlfn.TEXTSPLIT(B569,"    "),4))</f>
        <v/>
      </c>
    </row>
    <row r="571" spans="3:4" x14ac:dyDescent="0.25">
      <c r="C571" t="str" cm="1">
        <f t="array" ref="C571">IF(ISNUMBER(SEARCH("\",B571)),INDEX(_xlfn.TEXTSPLIT(B571,"\"),6),"")</f>
        <v/>
      </c>
      <c r="D571" t="str" cm="1">
        <f t="array" ref="D571">IF(ISBLANK(B572),"",INDEX(_xlfn.TEXTSPLIT(B572,"    "),4))</f>
        <v/>
      </c>
    </row>
    <row r="574" spans="3:4" x14ac:dyDescent="0.25">
      <c r="C574" t="str" cm="1">
        <f t="array" ref="C574">IF(ISNUMBER(SEARCH("\",B574)),INDEX(_xlfn.TEXTSPLIT(B574,"\"),6),"")</f>
        <v/>
      </c>
      <c r="D574" t="str" cm="1">
        <f t="array" ref="D574">IF(ISBLANK(B575),"",INDEX(_xlfn.TEXTSPLIT(B575,"    "),4))</f>
        <v/>
      </c>
    </row>
    <row r="577" spans="3:4" x14ac:dyDescent="0.25">
      <c r="C577" t="str" cm="1">
        <f t="array" ref="C577">IF(ISNUMBER(SEARCH("\",B577)),INDEX(_xlfn.TEXTSPLIT(B577,"\"),6),"")</f>
        <v/>
      </c>
      <c r="D577" t="str" cm="1">
        <f t="array" ref="D577">IF(ISBLANK(B578),"",INDEX(_xlfn.TEXTSPLIT(B578,"    "),4))</f>
        <v/>
      </c>
    </row>
    <row r="580" spans="3:4" x14ac:dyDescent="0.25">
      <c r="C580" t="str" cm="1">
        <f t="array" ref="C580">IF(ISNUMBER(SEARCH("\",B580)),INDEX(_xlfn.TEXTSPLIT(B580,"\"),6),"")</f>
        <v/>
      </c>
      <c r="D580" t="str" cm="1">
        <f t="array" ref="D580">IF(ISBLANK(B581),"",INDEX(_xlfn.TEXTSPLIT(B581,"    "),4))</f>
        <v/>
      </c>
    </row>
    <row r="583" spans="3:4" x14ac:dyDescent="0.25">
      <c r="C583" t="str" cm="1">
        <f t="array" ref="C583">IF(ISNUMBER(SEARCH("\",B583)),INDEX(_xlfn.TEXTSPLIT(B583,"\"),6),"")</f>
        <v/>
      </c>
      <c r="D583" t="str" cm="1">
        <f t="array" ref="D583">IF(ISBLANK(B584),"",INDEX(_xlfn.TEXTSPLIT(B584,"    "),4))</f>
        <v/>
      </c>
    </row>
    <row r="586" spans="3:4" x14ac:dyDescent="0.25">
      <c r="C586" t="str" cm="1">
        <f t="array" ref="C586">IF(ISNUMBER(SEARCH("\",B586)),INDEX(_xlfn.TEXTSPLIT(B586,"\"),6),"")</f>
        <v/>
      </c>
      <c r="D586" t="str" cm="1">
        <f t="array" ref="D586">IF(ISBLANK(B587),"",INDEX(_xlfn.TEXTSPLIT(B587,"    "),4))</f>
        <v/>
      </c>
    </row>
    <row r="589" spans="3:4" x14ac:dyDescent="0.25">
      <c r="C589" t="str" cm="1">
        <f t="array" ref="C589">IF(ISNUMBER(SEARCH("\",B589)),INDEX(_xlfn.TEXTSPLIT(B589,"\"),6),"")</f>
        <v/>
      </c>
      <c r="D589" t="str" cm="1">
        <f t="array" ref="D589">IF(ISBLANK(B590),"",INDEX(_xlfn.TEXTSPLIT(B590,"    "),4))</f>
        <v/>
      </c>
    </row>
    <row r="592" spans="3:4" x14ac:dyDescent="0.25">
      <c r="C592" t="str" cm="1">
        <f t="array" ref="C592">IF(ISNUMBER(SEARCH("\",B592)),INDEX(_xlfn.TEXTSPLIT(B592,"\"),6),"")</f>
        <v/>
      </c>
      <c r="D592" t="str" cm="1">
        <f t="array" ref="D592">IF(ISBLANK(B593),"",INDEX(_xlfn.TEXTSPLIT(B593,"    "),4))</f>
        <v/>
      </c>
    </row>
    <row r="595" spans="3:4" x14ac:dyDescent="0.25">
      <c r="C595" t="str" cm="1">
        <f t="array" ref="C595">IF(ISNUMBER(SEARCH("\",B595)),INDEX(_xlfn.TEXTSPLIT(B595,"\"),6),"")</f>
        <v/>
      </c>
      <c r="D595" t="str" cm="1">
        <f t="array" ref="D595">IF(ISBLANK(B596),"",INDEX(_xlfn.TEXTSPLIT(B596,"    "),4))</f>
        <v/>
      </c>
    </row>
    <row r="598" spans="3:4" x14ac:dyDescent="0.25">
      <c r="C598" t="str" cm="1">
        <f t="array" ref="C598">IF(ISNUMBER(SEARCH("\",B598)),INDEX(_xlfn.TEXTSPLIT(B598,"\"),6),"")</f>
        <v/>
      </c>
      <c r="D598" t="str" cm="1">
        <f t="array" ref="D598">IF(ISBLANK(B599),"",INDEX(_xlfn.TEXTSPLIT(B599,"    "),4))</f>
        <v/>
      </c>
    </row>
    <row r="601" spans="3:4" x14ac:dyDescent="0.25">
      <c r="C601" t="str" cm="1">
        <f t="array" ref="C601">IF(ISNUMBER(SEARCH("\",B601)),INDEX(_xlfn.TEXTSPLIT(B601,"\"),6),"")</f>
        <v/>
      </c>
      <c r="D601" t="str" cm="1">
        <f t="array" ref="D601">IF(ISBLANK(B602),"",INDEX(_xlfn.TEXTSPLIT(B602,"    "),4))</f>
        <v/>
      </c>
    </row>
    <row r="604" spans="3:4" x14ac:dyDescent="0.25">
      <c r="C604" t="str" cm="1">
        <f t="array" ref="C604">IF(ISNUMBER(SEARCH("\",B604)),INDEX(_xlfn.TEXTSPLIT(B604,"\"),6),"")</f>
        <v/>
      </c>
      <c r="D604" t="str" cm="1">
        <f t="array" ref="D604">IF(ISBLANK(B605),"",INDEX(_xlfn.TEXTSPLIT(B605,"    "),4))</f>
        <v/>
      </c>
    </row>
    <row r="607" spans="3:4" x14ac:dyDescent="0.25">
      <c r="C607" t="str" cm="1">
        <f t="array" ref="C607">IF(ISNUMBER(SEARCH("\",B607)),INDEX(_xlfn.TEXTSPLIT(B607,"\"),6),"")</f>
        <v/>
      </c>
      <c r="D607" t="str" cm="1">
        <f t="array" ref="D607">IF(ISBLANK(B608),"",INDEX(_xlfn.TEXTSPLIT(B608,"    "),4))</f>
        <v/>
      </c>
    </row>
    <row r="610" spans="3:4" x14ac:dyDescent="0.25">
      <c r="C610" t="str" cm="1">
        <f t="array" ref="C610">IF(ISNUMBER(SEARCH("\",B610)),INDEX(_xlfn.TEXTSPLIT(B610,"\"),6),"")</f>
        <v/>
      </c>
      <c r="D610" t="str" cm="1">
        <f t="array" ref="D610">IF(ISBLANK(B611),"",INDEX(_xlfn.TEXTSPLIT(B611,"    "),4))</f>
        <v/>
      </c>
    </row>
    <row r="613" spans="3:4" x14ac:dyDescent="0.25">
      <c r="C613" t="str" cm="1">
        <f t="array" ref="C613">IF(ISNUMBER(SEARCH("\",B613)),INDEX(_xlfn.TEXTSPLIT(B613,"\"),6),"")</f>
        <v/>
      </c>
      <c r="D613" t="str" cm="1">
        <f t="array" ref="D613">IF(ISBLANK(B614),"",INDEX(_xlfn.TEXTSPLIT(B614,"    "),4))</f>
        <v/>
      </c>
    </row>
    <row r="616" spans="3:4" x14ac:dyDescent="0.25">
      <c r="C616" t="str" cm="1">
        <f t="array" ref="C616">IF(ISNUMBER(SEARCH("\",B616)),INDEX(_xlfn.TEXTSPLIT(B616,"\"),6),"")</f>
        <v/>
      </c>
      <c r="D616" t="str" cm="1">
        <f t="array" ref="D616">IF(ISBLANK(B617),"",INDEX(_xlfn.TEXTSPLIT(B617,"    "),4))</f>
        <v/>
      </c>
    </row>
    <row r="619" spans="3:4" x14ac:dyDescent="0.25">
      <c r="C619" t="str" cm="1">
        <f t="array" ref="C619">IF(ISNUMBER(SEARCH("\",B619)),INDEX(_xlfn.TEXTSPLIT(B619,"\"),6),"")</f>
        <v/>
      </c>
      <c r="D619" t="str" cm="1">
        <f t="array" ref="D619">IF(ISBLANK(B620),"",INDEX(_xlfn.TEXTSPLIT(B620,"    "),4))</f>
        <v/>
      </c>
    </row>
    <row r="622" spans="3:4" x14ac:dyDescent="0.25">
      <c r="C622" t="str" cm="1">
        <f t="array" ref="C622">IF(ISNUMBER(SEARCH("\",B622)),INDEX(_xlfn.TEXTSPLIT(B622,"\"),6),"")</f>
        <v/>
      </c>
      <c r="D622" t="str" cm="1">
        <f t="array" ref="D622">IF(ISBLANK(B623),"",INDEX(_xlfn.TEXTSPLIT(B623,"    "),4))</f>
        <v/>
      </c>
    </row>
    <row r="625" spans="3:4" x14ac:dyDescent="0.25">
      <c r="C625" t="str" cm="1">
        <f t="array" ref="C625">IF(ISNUMBER(SEARCH("\",B625)),INDEX(_xlfn.TEXTSPLIT(B625,"\"),6),"")</f>
        <v/>
      </c>
      <c r="D625" t="str" cm="1">
        <f t="array" ref="D625">IF(ISBLANK(B626),"",INDEX(_xlfn.TEXTSPLIT(B626,"    "),4))</f>
        <v/>
      </c>
    </row>
    <row r="628" spans="3:4" x14ac:dyDescent="0.25">
      <c r="C628" t="str" cm="1">
        <f t="array" ref="C628">IF(ISNUMBER(SEARCH("\",B628)),INDEX(_xlfn.TEXTSPLIT(B628,"\"),6),"")</f>
        <v/>
      </c>
      <c r="D628" t="str" cm="1">
        <f t="array" ref="D628">IF(ISBLANK(B629),"",INDEX(_xlfn.TEXTSPLIT(B629,"    "),4))</f>
        <v/>
      </c>
    </row>
    <row r="631" spans="3:4" x14ac:dyDescent="0.25">
      <c r="C631" t="str" cm="1">
        <f t="array" ref="C631">IF(ISNUMBER(SEARCH("\",B631)),INDEX(_xlfn.TEXTSPLIT(B631,"\"),6),"")</f>
        <v/>
      </c>
      <c r="D631" t="str" cm="1">
        <f t="array" ref="D631">IF(ISBLANK(B632),"",INDEX(_xlfn.TEXTSPLIT(B632,"    "),4))</f>
        <v/>
      </c>
    </row>
    <row r="634" spans="3:4" x14ac:dyDescent="0.25">
      <c r="C634" t="str" cm="1">
        <f t="array" ref="C634">IF(ISNUMBER(SEARCH("\",B634)),INDEX(_xlfn.TEXTSPLIT(B634,"\"),6),"")</f>
        <v/>
      </c>
      <c r="D634" t="str" cm="1">
        <f t="array" ref="D634">IF(ISBLANK(B635),"",INDEX(_xlfn.TEXTSPLIT(B635,"    "),4))</f>
        <v/>
      </c>
    </row>
    <row r="637" spans="3:4" x14ac:dyDescent="0.25">
      <c r="C637" t="str" cm="1">
        <f t="array" ref="C637">IF(ISNUMBER(SEARCH("\",B637)),INDEX(_xlfn.TEXTSPLIT(B637,"\"),6),"")</f>
        <v/>
      </c>
      <c r="D637" t="str" cm="1">
        <f t="array" ref="D637">IF(ISBLANK(B638),"",INDEX(_xlfn.TEXTSPLIT(B638,"    "),4))</f>
        <v/>
      </c>
    </row>
    <row r="640" spans="3:4" x14ac:dyDescent="0.25">
      <c r="C640" t="str" cm="1">
        <f t="array" ref="C640">IF(ISNUMBER(SEARCH("\",B640)),INDEX(_xlfn.TEXTSPLIT(B640,"\"),6),"")</f>
        <v/>
      </c>
      <c r="D640" t="str" cm="1">
        <f t="array" ref="D640">IF(ISBLANK(B641),"",INDEX(_xlfn.TEXTSPLIT(B641,"    "),4))</f>
        <v/>
      </c>
    </row>
    <row r="643" spans="3:4" x14ac:dyDescent="0.25">
      <c r="C643" t="str" cm="1">
        <f t="array" ref="C643">IF(ISNUMBER(SEARCH("\",B643)),INDEX(_xlfn.TEXTSPLIT(B643,"\"),6),"")</f>
        <v/>
      </c>
      <c r="D643" t="str" cm="1">
        <f t="array" ref="D643">IF(ISBLANK(B644),"",INDEX(_xlfn.TEXTSPLIT(B644,"    "),4))</f>
        <v/>
      </c>
    </row>
    <row r="646" spans="3:4" x14ac:dyDescent="0.25">
      <c r="C646" t="str" cm="1">
        <f t="array" ref="C646">IF(ISNUMBER(SEARCH("\",B646)),INDEX(_xlfn.TEXTSPLIT(B646,"\"),6),"")</f>
        <v/>
      </c>
      <c r="D646" t="str" cm="1">
        <f t="array" ref="D646">IF(ISBLANK(B647),"",INDEX(_xlfn.TEXTSPLIT(B647,"    "),4))</f>
        <v/>
      </c>
    </row>
    <row r="649" spans="3:4" x14ac:dyDescent="0.25">
      <c r="C649" t="str" cm="1">
        <f t="array" ref="C649">IF(ISNUMBER(SEARCH("\",B649)),INDEX(_xlfn.TEXTSPLIT(B649,"\"),6),"")</f>
        <v/>
      </c>
      <c r="D649" t="str" cm="1">
        <f t="array" ref="D649">IF(ISBLANK(B650),"",INDEX(_xlfn.TEXTSPLIT(B650,"    "),4))</f>
        <v/>
      </c>
    </row>
    <row r="652" spans="3:4" x14ac:dyDescent="0.25">
      <c r="C652" t="str" cm="1">
        <f t="array" ref="C652">IF(ISNUMBER(SEARCH("\",B652)),INDEX(_xlfn.TEXTSPLIT(B652,"\"),6),"")</f>
        <v/>
      </c>
      <c r="D652" t="str" cm="1">
        <f t="array" ref="D652">IF(ISBLANK(B653),"",INDEX(_xlfn.TEXTSPLIT(B653,"    "),4))</f>
        <v/>
      </c>
    </row>
    <row r="655" spans="3:4" x14ac:dyDescent="0.25">
      <c r="C655" t="str" cm="1">
        <f t="array" ref="C655">IF(ISNUMBER(SEARCH("\",B655)),INDEX(_xlfn.TEXTSPLIT(B655,"\"),6),"")</f>
        <v/>
      </c>
      <c r="D655" t="str" cm="1">
        <f t="array" ref="D655">IF(ISBLANK(B656),"",INDEX(_xlfn.TEXTSPLIT(B656,"    "),4))</f>
        <v/>
      </c>
    </row>
    <row r="658" spans="3:4" x14ac:dyDescent="0.25">
      <c r="C658" t="str" cm="1">
        <f t="array" ref="C658">IF(ISNUMBER(SEARCH("\",B658)),INDEX(_xlfn.TEXTSPLIT(B658,"\"),6),"")</f>
        <v/>
      </c>
      <c r="D658" t="str" cm="1">
        <f t="array" ref="D658">IF(ISBLANK(B659),"",INDEX(_xlfn.TEXTSPLIT(B659,"    "),4))</f>
        <v/>
      </c>
    </row>
    <row r="661" spans="3:4" x14ac:dyDescent="0.25">
      <c r="C661" t="str" cm="1">
        <f t="array" ref="C661">IF(ISNUMBER(SEARCH("\",B661)),INDEX(_xlfn.TEXTSPLIT(B661,"\"),6),"")</f>
        <v/>
      </c>
      <c r="D661" t="str" cm="1">
        <f t="array" ref="D661">IF(ISBLANK(B662),"",INDEX(_xlfn.TEXTSPLIT(B662,"    "),4))</f>
        <v/>
      </c>
    </row>
    <row r="664" spans="3:4" x14ac:dyDescent="0.25">
      <c r="C664" t="str" cm="1">
        <f t="array" ref="C664">IF(ISNUMBER(SEARCH("\",B664)),INDEX(_xlfn.TEXTSPLIT(B664,"\"),6),"")</f>
        <v/>
      </c>
      <c r="D664" t="str" cm="1">
        <f t="array" ref="D664">IF(ISBLANK(B665),"",INDEX(_xlfn.TEXTSPLIT(B665,"    "),4))</f>
        <v/>
      </c>
    </row>
    <row r="667" spans="3:4" x14ac:dyDescent="0.25">
      <c r="C667" t="str" cm="1">
        <f t="array" ref="C667">IF(ISNUMBER(SEARCH("\",B667)),INDEX(_xlfn.TEXTSPLIT(B667,"\"),6),"")</f>
        <v/>
      </c>
      <c r="D667" t="str" cm="1">
        <f t="array" ref="D667">IF(ISBLANK(B668),"",INDEX(_xlfn.TEXTSPLIT(B668,"    "),4))</f>
        <v/>
      </c>
    </row>
    <row r="670" spans="3:4" x14ac:dyDescent="0.25">
      <c r="C670" t="str" cm="1">
        <f t="array" ref="C670">IF(ISNUMBER(SEARCH("\",B670)),INDEX(_xlfn.TEXTSPLIT(B670,"\"),6),"")</f>
        <v/>
      </c>
      <c r="D670" t="str" cm="1">
        <f t="array" ref="D670">IF(ISBLANK(B671),"",INDEX(_xlfn.TEXTSPLIT(B671,"    "),4))</f>
        <v/>
      </c>
    </row>
    <row r="673" spans="3:4" x14ac:dyDescent="0.25">
      <c r="C673" t="str" cm="1">
        <f t="array" ref="C673">IF(ISNUMBER(SEARCH("\",B673)),INDEX(_xlfn.TEXTSPLIT(B673,"\"),6),"")</f>
        <v/>
      </c>
      <c r="D673" t="str" cm="1">
        <f t="array" ref="D673">IF(ISBLANK(B674),"",INDEX(_xlfn.TEXTSPLIT(B674,"    "),4))</f>
        <v/>
      </c>
    </row>
    <row r="676" spans="3:4" x14ac:dyDescent="0.25">
      <c r="C676" t="str" cm="1">
        <f t="array" ref="C676">IF(ISNUMBER(SEARCH("\",B676)),INDEX(_xlfn.TEXTSPLIT(B676,"\"),6),"")</f>
        <v/>
      </c>
      <c r="D676" t="str" cm="1">
        <f t="array" ref="D676">IF(ISBLANK(B677),"",INDEX(_xlfn.TEXTSPLIT(B677,"    "),4))</f>
        <v/>
      </c>
    </row>
    <row r="679" spans="3:4" x14ac:dyDescent="0.25">
      <c r="C679" t="str" cm="1">
        <f t="array" ref="C679">IF(ISNUMBER(SEARCH("\",B679)),INDEX(_xlfn.TEXTSPLIT(B679,"\"),6),"")</f>
        <v/>
      </c>
      <c r="D679" t="str" cm="1">
        <f t="array" ref="D679">IF(ISBLANK(B680),"",INDEX(_xlfn.TEXTSPLIT(B680,"    "),4))</f>
        <v/>
      </c>
    </row>
    <row r="682" spans="3:4" x14ac:dyDescent="0.25">
      <c r="C682" t="str" cm="1">
        <f t="array" ref="C682">IF(ISNUMBER(SEARCH("\",B682)),INDEX(_xlfn.TEXTSPLIT(B682,"\"),6),"")</f>
        <v/>
      </c>
      <c r="D682" t="str" cm="1">
        <f t="array" ref="D682">IF(ISBLANK(B683),"",INDEX(_xlfn.TEXTSPLIT(B683,"    "),4))</f>
        <v/>
      </c>
    </row>
    <row r="685" spans="3:4" x14ac:dyDescent="0.25">
      <c r="C685" t="str" cm="1">
        <f t="array" ref="C685">IF(ISNUMBER(SEARCH("\",B685)),INDEX(_xlfn.TEXTSPLIT(B685,"\"),6),"")</f>
        <v/>
      </c>
      <c r="D685" t="str" cm="1">
        <f t="array" ref="D685">IF(ISBLANK(B686),"",INDEX(_xlfn.TEXTSPLIT(B686,"    "),4))</f>
        <v/>
      </c>
    </row>
    <row r="688" spans="3:4" x14ac:dyDescent="0.25">
      <c r="C688" t="str" cm="1">
        <f t="array" ref="C688">IF(ISNUMBER(SEARCH("\",B688)),INDEX(_xlfn.TEXTSPLIT(B688,"\"),6),"")</f>
        <v/>
      </c>
      <c r="D688" t="str" cm="1">
        <f t="array" ref="D688">IF(ISBLANK(B689),"",INDEX(_xlfn.TEXTSPLIT(B689,"    "),4))</f>
        <v/>
      </c>
    </row>
    <row r="691" spans="3:4" x14ac:dyDescent="0.25">
      <c r="C691" t="str" cm="1">
        <f t="array" ref="C691">IF(ISNUMBER(SEARCH("\",B691)),INDEX(_xlfn.TEXTSPLIT(B691,"\"),6),"")</f>
        <v/>
      </c>
      <c r="D691" t="str" cm="1">
        <f t="array" ref="D691">IF(ISBLANK(B692),"",INDEX(_xlfn.TEXTSPLIT(B692,"    "),4))</f>
        <v/>
      </c>
    </row>
    <row r="694" spans="3:4" x14ac:dyDescent="0.25">
      <c r="C694" t="str" cm="1">
        <f t="array" ref="C694">IF(ISNUMBER(SEARCH("\",B694)),INDEX(_xlfn.TEXTSPLIT(B694,"\"),6),"")</f>
        <v/>
      </c>
      <c r="D694" t="str" cm="1">
        <f t="array" ref="D694">IF(ISBLANK(B695),"",INDEX(_xlfn.TEXTSPLIT(B695,"    "),4))</f>
        <v/>
      </c>
    </row>
    <row r="697" spans="3:4" x14ac:dyDescent="0.25">
      <c r="C697" t="str" cm="1">
        <f t="array" ref="C697">IF(ISNUMBER(SEARCH("\",B697)),INDEX(_xlfn.TEXTSPLIT(B697,"\"),6),"")</f>
        <v/>
      </c>
      <c r="D697" t="str" cm="1">
        <f t="array" ref="D697">IF(ISBLANK(B698),"",INDEX(_xlfn.TEXTSPLIT(B698,"    "),4))</f>
        <v/>
      </c>
    </row>
    <row r="700" spans="3:4" x14ac:dyDescent="0.25">
      <c r="C700" t="str" cm="1">
        <f t="array" ref="C700">IF(ISNUMBER(SEARCH("\",B700)),INDEX(_xlfn.TEXTSPLIT(B700,"\"),6),"")</f>
        <v/>
      </c>
      <c r="D700" t="str" cm="1">
        <f t="array" ref="D700">IF(ISBLANK(B701),"",INDEX(_xlfn.TEXTSPLIT(B701,"    "),4))</f>
        <v/>
      </c>
    </row>
    <row r="703" spans="3:4" x14ac:dyDescent="0.25">
      <c r="C703" t="str" cm="1">
        <f t="array" ref="C703">IF(ISNUMBER(SEARCH("\",B703)),INDEX(_xlfn.TEXTSPLIT(B703,"\"),6),"")</f>
        <v/>
      </c>
      <c r="D703" t="str" cm="1">
        <f t="array" ref="D703">IF(ISBLANK(B704),"",INDEX(_xlfn.TEXTSPLIT(B704,"    "),4))</f>
        <v/>
      </c>
    </row>
    <row r="706" spans="3:4" x14ac:dyDescent="0.25">
      <c r="C706" t="str" cm="1">
        <f t="array" ref="C706">IF(ISNUMBER(SEARCH("\",B706)),INDEX(_xlfn.TEXTSPLIT(B706,"\"),6),"")</f>
        <v/>
      </c>
      <c r="D706" t="str" cm="1">
        <f t="array" ref="D706">IF(ISBLANK(B707),"",INDEX(_xlfn.TEXTSPLIT(B707,"    "),4))</f>
        <v/>
      </c>
    </row>
    <row r="709" spans="3:4" x14ac:dyDescent="0.25">
      <c r="C709" t="str" cm="1">
        <f t="array" ref="C709">IF(ISNUMBER(SEARCH("\",B709)),INDEX(_xlfn.TEXTSPLIT(B709,"\"),6),"")</f>
        <v/>
      </c>
      <c r="D709" t="str" cm="1">
        <f t="array" ref="D709">IF(ISBLANK(B710),"",INDEX(_xlfn.TEXTSPLIT(B710,"    "),4))</f>
        <v/>
      </c>
    </row>
    <row r="712" spans="3:4" x14ac:dyDescent="0.25">
      <c r="C712" t="str" cm="1">
        <f t="array" ref="C712">IF(ISNUMBER(SEARCH("\",B712)),INDEX(_xlfn.TEXTSPLIT(B712,"\"),6),"")</f>
        <v/>
      </c>
      <c r="D712" t="str" cm="1">
        <f t="array" ref="D712">IF(ISBLANK(B713),"",INDEX(_xlfn.TEXTSPLIT(B713,"    "),4))</f>
        <v/>
      </c>
    </row>
    <row r="715" spans="3:4" x14ac:dyDescent="0.25">
      <c r="C715" t="str" cm="1">
        <f t="array" ref="C715">IF(ISNUMBER(SEARCH("\",B715)),INDEX(_xlfn.TEXTSPLIT(B715,"\"),6),"")</f>
        <v/>
      </c>
      <c r="D715" t="str" cm="1">
        <f t="array" ref="D715">IF(ISBLANK(B716),"",INDEX(_xlfn.TEXTSPLIT(B716,"    "),4))</f>
        <v/>
      </c>
    </row>
    <row r="718" spans="3:4" x14ac:dyDescent="0.25">
      <c r="C718" t="str" cm="1">
        <f t="array" ref="C718">IF(ISNUMBER(SEARCH("\",B718)),INDEX(_xlfn.TEXTSPLIT(B718,"\"),6),"")</f>
        <v/>
      </c>
      <c r="D718" t="str" cm="1">
        <f t="array" ref="D718">IF(ISBLANK(B719),"",INDEX(_xlfn.TEXTSPLIT(B719,"    "),4))</f>
        <v/>
      </c>
    </row>
    <row r="721" spans="3:4" x14ac:dyDescent="0.25">
      <c r="C721" t="str" cm="1">
        <f t="array" ref="C721">IF(ISNUMBER(SEARCH("\",B721)),INDEX(_xlfn.TEXTSPLIT(B721,"\"),6),"")</f>
        <v/>
      </c>
      <c r="D721" t="str" cm="1">
        <f t="array" ref="D721">IF(ISBLANK(B722),"",INDEX(_xlfn.TEXTSPLIT(B722,"    "),4))</f>
        <v/>
      </c>
    </row>
    <row r="724" spans="3:4" x14ac:dyDescent="0.25">
      <c r="C724" t="str" cm="1">
        <f t="array" ref="C724">IF(ISNUMBER(SEARCH("\",B724)),INDEX(_xlfn.TEXTSPLIT(B724,"\"),6),"")</f>
        <v/>
      </c>
      <c r="D724" t="str" cm="1">
        <f t="array" ref="D724">IF(ISBLANK(B725),"",INDEX(_xlfn.TEXTSPLIT(B725,"    "),4))</f>
        <v/>
      </c>
    </row>
    <row r="727" spans="3:4" x14ac:dyDescent="0.25">
      <c r="C727" t="str" cm="1">
        <f t="array" ref="C727">IF(ISNUMBER(SEARCH("\",B727)),INDEX(_xlfn.TEXTSPLIT(B727,"\"),6),"")</f>
        <v/>
      </c>
      <c r="D727" t="str" cm="1">
        <f t="array" ref="D727">IF(ISBLANK(B728),"",INDEX(_xlfn.TEXTSPLIT(B728,"    "),4))</f>
        <v/>
      </c>
    </row>
    <row r="730" spans="3:4" x14ac:dyDescent="0.25">
      <c r="C730" t="str" cm="1">
        <f t="array" ref="C730">IF(ISNUMBER(SEARCH("\",B730)),INDEX(_xlfn.TEXTSPLIT(B730,"\"),6),"")</f>
        <v/>
      </c>
      <c r="D730" t="str" cm="1">
        <f t="array" ref="D730">IF(ISBLANK(B731),"",INDEX(_xlfn.TEXTSPLIT(B731,"    "),4))</f>
        <v/>
      </c>
    </row>
    <row r="733" spans="3:4" x14ac:dyDescent="0.25">
      <c r="C733" t="str" cm="1">
        <f t="array" ref="C733">IF(ISNUMBER(SEARCH("\",B733)),INDEX(_xlfn.TEXTSPLIT(B733,"\"),6),"")</f>
        <v/>
      </c>
      <c r="D733" t="str" cm="1">
        <f t="array" ref="D733">IF(ISBLANK(B734),"",INDEX(_xlfn.TEXTSPLIT(B734,"    "),4))</f>
        <v/>
      </c>
    </row>
    <row r="736" spans="3:4" x14ac:dyDescent="0.25">
      <c r="C736" t="str" cm="1">
        <f t="array" ref="C736">IF(ISNUMBER(SEARCH("\",B736)),INDEX(_xlfn.TEXTSPLIT(B736,"\"),6),"")</f>
        <v/>
      </c>
      <c r="D736" t="str" cm="1">
        <f t="array" ref="D736">IF(ISBLANK(B737),"",INDEX(_xlfn.TEXTSPLIT(B737,"    "),4))</f>
        <v/>
      </c>
    </row>
    <row r="739" spans="3:4" x14ac:dyDescent="0.25">
      <c r="C739" t="str" cm="1">
        <f t="array" ref="C739">IF(ISNUMBER(SEARCH("\",B739)),INDEX(_xlfn.TEXTSPLIT(B739,"\"),6),"")</f>
        <v/>
      </c>
      <c r="D739" t="str" cm="1">
        <f t="array" ref="D739">IF(ISBLANK(B740),"",INDEX(_xlfn.TEXTSPLIT(B740,"    "),4))</f>
        <v/>
      </c>
    </row>
    <row r="742" spans="3:4" x14ac:dyDescent="0.25">
      <c r="C742" t="str" cm="1">
        <f t="array" ref="C742">IF(ISNUMBER(SEARCH("\",B742)),INDEX(_xlfn.TEXTSPLIT(B742,"\"),6),"")</f>
        <v/>
      </c>
      <c r="D742" t="str" cm="1">
        <f t="array" ref="D742">IF(ISBLANK(B743),"",INDEX(_xlfn.TEXTSPLIT(B743,"    "),4))</f>
        <v/>
      </c>
    </row>
    <row r="745" spans="3:4" x14ac:dyDescent="0.25">
      <c r="C745" t="str" cm="1">
        <f t="array" ref="C745">IF(ISNUMBER(SEARCH("\",B745)),INDEX(_xlfn.TEXTSPLIT(B745,"\"),6),"")</f>
        <v/>
      </c>
      <c r="D745" t="str" cm="1">
        <f t="array" ref="D745">IF(ISBLANK(B746),"",INDEX(_xlfn.TEXTSPLIT(B746,"    "),4))</f>
        <v/>
      </c>
    </row>
    <row r="748" spans="3:4" x14ac:dyDescent="0.25">
      <c r="C748" t="str" cm="1">
        <f t="array" ref="C748">IF(ISNUMBER(SEARCH("\",B748)),INDEX(_xlfn.TEXTSPLIT(B748,"\"),6),"")</f>
        <v/>
      </c>
      <c r="D748" t="str" cm="1">
        <f t="array" ref="D748">IF(ISBLANK(B749),"",INDEX(_xlfn.TEXTSPLIT(B749,"    "),4))</f>
        <v/>
      </c>
    </row>
    <row r="751" spans="3:4" x14ac:dyDescent="0.25">
      <c r="C751" t="str" cm="1">
        <f t="array" ref="C751">IF(ISNUMBER(SEARCH("\",B751)),INDEX(_xlfn.TEXTSPLIT(B751,"\"),6),"")</f>
        <v/>
      </c>
      <c r="D751" t="str" cm="1">
        <f t="array" ref="D751">IF(ISBLANK(B752),"",INDEX(_xlfn.TEXTSPLIT(B752,"    "),4))</f>
        <v/>
      </c>
    </row>
    <row r="754" spans="3:4" x14ac:dyDescent="0.25">
      <c r="C754" t="str" cm="1">
        <f t="array" ref="C754">IF(ISNUMBER(SEARCH("\",B754)),INDEX(_xlfn.TEXTSPLIT(B754,"\"),6),"")</f>
        <v/>
      </c>
      <c r="D754" t="str" cm="1">
        <f t="array" ref="D754">IF(ISBLANK(B755),"",INDEX(_xlfn.TEXTSPLIT(B755,"    "),4))</f>
        <v/>
      </c>
    </row>
    <row r="757" spans="3:4" x14ac:dyDescent="0.25">
      <c r="C757" t="str" cm="1">
        <f t="array" ref="C757">IF(ISNUMBER(SEARCH("\",B757)),INDEX(_xlfn.TEXTSPLIT(B757,"\"),6),"")</f>
        <v/>
      </c>
      <c r="D757" t="str" cm="1">
        <f t="array" ref="D757">IF(ISBLANK(B758),"",INDEX(_xlfn.TEXTSPLIT(B758,"    "),4))</f>
        <v/>
      </c>
    </row>
    <row r="760" spans="3:4" x14ac:dyDescent="0.25">
      <c r="C760" t="str" cm="1">
        <f t="array" ref="C760">IF(ISNUMBER(SEARCH("\",B760)),INDEX(_xlfn.TEXTSPLIT(B760,"\"),6),"")</f>
        <v/>
      </c>
      <c r="D760" t="str" cm="1">
        <f t="array" ref="D760">IF(ISBLANK(B761),"",INDEX(_xlfn.TEXTSPLIT(B761,"    "),4))</f>
        <v/>
      </c>
    </row>
    <row r="763" spans="3:4" x14ac:dyDescent="0.25">
      <c r="C763" t="str" cm="1">
        <f t="array" ref="C763">IF(ISNUMBER(SEARCH("\",B763)),INDEX(_xlfn.TEXTSPLIT(B763,"\"),6),"")</f>
        <v/>
      </c>
      <c r="D763" t="str" cm="1">
        <f t="array" ref="D763">IF(ISBLANK(B764),"",INDEX(_xlfn.TEXTSPLIT(B764,"    "),4))</f>
        <v/>
      </c>
    </row>
    <row r="766" spans="3:4" x14ac:dyDescent="0.25">
      <c r="C766" t="str" cm="1">
        <f t="array" ref="C766">IF(ISNUMBER(SEARCH("\",B766)),INDEX(_xlfn.TEXTSPLIT(B766,"\"),6),"")</f>
        <v/>
      </c>
      <c r="D766" t="str" cm="1">
        <f t="array" ref="D766">IF(ISBLANK(B767),"",INDEX(_xlfn.TEXTSPLIT(B767,"    "),4))</f>
        <v/>
      </c>
    </row>
    <row r="769" spans="3:4" x14ac:dyDescent="0.25">
      <c r="C769" t="str" cm="1">
        <f t="array" ref="C769">IF(ISNUMBER(SEARCH("\",B769)),INDEX(_xlfn.TEXTSPLIT(B769,"\"),6),"")</f>
        <v/>
      </c>
      <c r="D769" t="str" cm="1">
        <f t="array" ref="D769">IF(ISBLANK(B770),"",INDEX(_xlfn.TEXTSPLIT(B770,"    "),4))</f>
        <v/>
      </c>
    </row>
    <row r="772" spans="3:4" x14ac:dyDescent="0.25">
      <c r="C772" t="str" cm="1">
        <f t="array" ref="C772">IF(ISNUMBER(SEARCH("\",B772)),INDEX(_xlfn.TEXTSPLIT(B772,"\"),6),"")</f>
        <v/>
      </c>
      <c r="D772" t="str" cm="1">
        <f t="array" ref="D772">IF(ISBLANK(B773),"",INDEX(_xlfn.TEXTSPLIT(B773,"    "),4))</f>
        <v/>
      </c>
    </row>
    <row r="775" spans="3:4" x14ac:dyDescent="0.25">
      <c r="C775" t="str" cm="1">
        <f t="array" ref="C775">IF(ISNUMBER(SEARCH("\",B775)),INDEX(_xlfn.TEXTSPLIT(B775,"\"),6),"")</f>
        <v/>
      </c>
      <c r="D775" t="str" cm="1">
        <f t="array" ref="D775">IF(ISBLANK(B776),"",INDEX(_xlfn.TEXTSPLIT(B776,"    "),4))</f>
        <v/>
      </c>
    </row>
    <row r="778" spans="3:4" x14ac:dyDescent="0.25">
      <c r="C778" t="str" cm="1">
        <f t="array" ref="C778">IF(ISNUMBER(SEARCH("\",B778)),INDEX(_xlfn.TEXTSPLIT(B778,"\"),6),"")</f>
        <v/>
      </c>
      <c r="D778" t="str" cm="1">
        <f t="array" ref="D778">IF(ISBLANK(B779),"",INDEX(_xlfn.TEXTSPLIT(B779,"    "),4))</f>
        <v/>
      </c>
    </row>
    <row r="781" spans="3:4" x14ac:dyDescent="0.25">
      <c r="C781" t="str" cm="1">
        <f t="array" ref="C781">IF(ISNUMBER(SEARCH("\",B781)),INDEX(_xlfn.TEXTSPLIT(B781,"\"),6),"")</f>
        <v/>
      </c>
      <c r="D781" t="str" cm="1">
        <f t="array" ref="D781">IF(ISBLANK(B782),"",INDEX(_xlfn.TEXTSPLIT(B782,"    "),4))</f>
        <v/>
      </c>
    </row>
    <row r="784" spans="3:4" x14ac:dyDescent="0.25">
      <c r="C784" t="str" cm="1">
        <f t="array" ref="C784">IF(ISNUMBER(SEARCH("\",B784)),INDEX(_xlfn.TEXTSPLIT(B784,"\"),6),"")</f>
        <v/>
      </c>
      <c r="D784" t="str" cm="1">
        <f t="array" ref="D784">IF(ISBLANK(B785),"",INDEX(_xlfn.TEXTSPLIT(B785,"    "),4))</f>
        <v/>
      </c>
    </row>
    <row r="787" spans="3:4" x14ac:dyDescent="0.25">
      <c r="C787" t="str" cm="1">
        <f t="array" ref="C787">IF(ISNUMBER(SEARCH("\",B787)),INDEX(_xlfn.TEXTSPLIT(B787,"\"),6),"")</f>
        <v/>
      </c>
      <c r="D787" t="str" cm="1">
        <f t="array" ref="D787">IF(ISBLANK(B788),"",INDEX(_xlfn.TEXTSPLIT(B788,"    "),4))</f>
        <v/>
      </c>
    </row>
    <row r="790" spans="3:4" x14ac:dyDescent="0.25">
      <c r="C790" t="str" cm="1">
        <f t="array" ref="C790">IF(ISNUMBER(SEARCH("\",B790)),INDEX(_xlfn.TEXTSPLIT(B790,"\"),6),"")</f>
        <v/>
      </c>
      <c r="D790" t="str" cm="1">
        <f t="array" ref="D790">IF(ISBLANK(B791),"",INDEX(_xlfn.TEXTSPLIT(B791,"    "),4))</f>
        <v/>
      </c>
    </row>
    <row r="793" spans="3:4" x14ac:dyDescent="0.25">
      <c r="C793" t="str" cm="1">
        <f t="array" ref="C793">IF(ISNUMBER(SEARCH("\",B793)),INDEX(_xlfn.TEXTSPLIT(B793,"\"),6),"")</f>
        <v/>
      </c>
      <c r="D793" t="str" cm="1">
        <f t="array" ref="D793">IF(ISBLANK(B794),"",INDEX(_xlfn.TEXTSPLIT(B794,"    "),4))</f>
        <v/>
      </c>
    </row>
    <row r="796" spans="3:4" x14ac:dyDescent="0.25">
      <c r="C796" t="str" cm="1">
        <f t="array" ref="C796">IF(ISNUMBER(SEARCH("\",B796)),INDEX(_xlfn.TEXTSPLIT(B796,"\"),6),"")</f>
        <v/>
      </c>
      <c r="D796" t="str" cm="1">
        <f t="array" ref="D796">IF(ISBLANK(B797),"",INDEX(_xlfn.TEXTSPLIT(B797,"    "),4))</f>
        <v/>
      </c>
    </row>
    <row r="799" spans="3:4" x14ac:dyDescent="0.25">
      <c r="C799" t="str" cm="1">
        <f t="array" ref="C799">IF(ISNUMBER(SEARCH("\",B799)),INDEX(_xlfn.TEXTSPLIT(B799,"\"),6),"")</f>
        <v/>
      </c>
      <c r="D799" t="str" cm="1">
        <f t="array" ref="D799">IF(ISBLANK(B800),"",INDEX(_xlfn.TEXTSPLIT(B800,"    "),4))</f>
        <v/>
      </c>
    </row>
    <row r="802" spans="3:4" x14ac:dyDescent="0.25">
      <c r="C802" t="str" cm="1">
        <f t="array" ref="C802">IF(ISNUMBER(SEARCH("\",B802)),INDEX(_xlfn.TEXTSPLIT(B802,"\"),6),"")</f>
        <v/>
      </c>
      <c r="D802" t="str" cm="1">
        <f t="array" ref="D802">IF(ISBLANK(B803),"",INDEX(_xlfn.TEXTSPLIT(B803,"    "),4))</f>
        <v/>
      </c>
    </row>
    <row r="805" spans="3:4" x14ac:dyDescent="0.25">
      <c r="C805" t="str" cm="1">
        <f t="array" ref="C805">IF(ISNUMBER(SEARCH("\",B805)),INDEX(_xlfn.TEXTSPLIT(B805,"\"),6),"")</f>
        <v/>
      </c>
      <c r="D805" t="str" cm="1">
        <f t="array" ref="D805">IF(ISBLANK(B806),"",INDEX(_xlfn.TEXTSPLIT(B806,"    "),4))</f>
        <v/>
      </c>
    </row>
    <row r="808" spans="3:4" x14ac:dyDescent="0.25">
      <c r="C808" t="str" cm="1">
        <f t="array" ref="C808">IF(ISNUMBER(SEARCH("\",B808)),INDEX(_xlfn.TEXTSPLIT(B808,"\"),6),"")</f>
        <v/>
      </c>
      <c r="D808" t="str" cm="1">
        <f t="array" ref="D808">IF(ISBLANK(B809),"",INDEX(_xlfn.TEXTSPLIT(B809,"    "),4))</f>
        <v/>
      </c>
    </row>
    <row r="811" spans="3:4" x14ac:dyDescent="0.25">
      <c r="C811" t="str" cm="1">
        <f t="array" ref="C811">IF(ISNUMBER(SEARCH("\",B811)),INDEX(_xlfn.TEXTSPLIT(B811,"\"),6),"")</f>
        <v/>
      </c>
      <c r="D811" t="str" cm="1">
        <f t="array" ref="D811">IF(ISBLANK(B812),"",INDEX(_xlfn.TEXTSPLIT(B812,"    "),4))</f>
        <v/>
      </c>
    </row>
    <row r="814" spans="3:4" x14ac:dyDescent="0.25">
      <c r="C814" t="str" cm="1">
        <f t="array" ref="C814">IF(ISNUMBER(SEARCH("\",B814)),INDEX(_xlfn.TEXTSPLIT(B814,"\"),6),"")</f>
        <v/>
      </c>
      <c r="D814" t="str" cm="1">
        <f t="array" ref="D814">IF(ISBLANK(B815),"",INDEX(_xlfn.TEXTSPLIT(B815,"    "),4))</f>
        <v/>
      </c>
    </row>
    <row r="817" spans="3:4" x14ac:dyDescent="0.25">
      <c r="C817" t="str" cm="1">
        <f t="array" ref="C817">IF(ISNUMBER(SEARCH("\",B817)),INDEX(_xlfn.TEXTSPLIT(B817,"\"),6),"")</f>
        <v/>
      </c>
      <c r="D817" t="str" cm="1">
        <f t="array" ref="D817">IF(ISBLANK(B818),"",INDEX(_xlfn.TEXTSPLIT(B818,"    "),4))</f>
        <v/>
      </c>
    </row>
    <row r="820" spans="3:4" x14ac:dyDescent="0.25">
      <c r="C820" t="str" cm="1">
        <f t="array" ref="C820">IF(ISNUMBER(SEARCH("\",B820)),INDEX(_xlfn.TEXTSPLIT(B820,"\"),6),"")</f>
        <v/>
      </c>
      <c r="D820" t="str" cm="1">
        <f t="array" ref="D820">IF(ISBLANK(B821),"",INDEX(_xlfn.TEXTSPLIT(B821,"    "),4))</f>
        <v/>
      </c>
    </row>
    <row r="823" spans="3:4" x14ac:dyDescent="0.25">
      <c r="C823" t="str" cm="1">
        <f t="array" ref="C823">IF(ISNUMBER(SEARCH("\",B823)),INDEX(_xlfn.TEXTSPLIT(B823,"\"),6),"")</f>
        <v/>
      </c>
      <c r="D823" t="str" cm="1">
        <f t="array" ref="D823">IF(ISBLANK(B824),"",INDEX(_xlfn.TEXTSPLIT(B824,"    "),4))</f>
        <v/>
      </c>
    </row>
    <row r="826" spans="3:4" x14ac:dyDescent="0.25">
      <c r="C826" t="str" cm="1">
        <f t="array" ref="C826">IF(ISNUMBER(SEARCH("\",B826)),INDEX(_xlfn.TEXTSPLIT(B826,"\"),6),"")</f>
        <v/>
      </c>
      <c r="D826" t="str" cm="1">
        <f t="array" ref="D826">IF(ISBLANK(B827),"",INDEX(_xlfn.TEXTSPLIT(B827,"    "),4))</f>
        <v/>
      </c>
    </row>
    <row r="829" spans="3:4" x14ac:dyDescent="0.25">
      <c r="C829" t="str" cm="1">
        <f t="array" ref="C829">IF(ISNUMBER(SEARCH("\",B829)),INDEX(_xlfn.TEXTSPLIT(B829,"\"),6),"")</f>
        <v/>
      </c>
      <c r="D829" t="str" cm="1">
        <f t="array" ref="D829">IF(ISBLANK(B830),"",INDEX(_xlfn.TEXTSPLIT(B830,"    "),4))</f>
        <v/>
      </c>
    </row>
    <row r="832" spans="3:4" x14ac:dyDescent="0.25">
      <c r="C832" t="str" cm="1">
        <f t="array" ref="C832">IF(ISNUMBER(SEARCH("\",B832)),INDEX(_xlfn.TEXTSPLIT(B832,"\"),6),"")</f>
        <v/>
      </c>
      <c r="D832" t="str" cm="1">
        <f t="array" ref="D832">IF(ISBLANK(B833),"",INDEX(_xlfn.TEXTSPLIT(B833,"    "),4))</f>
        <v/>
      </c>
    </row>
    <row r="835" spans="3:4" x14ac:dyDescent="0.25">
      <c r="C835" t="str" cm="1">
        <f t="array" ref="C835">IF(ISNUMBER(SEARCH("\",B835)),INDEX(_xlfn.TEXTSPLIT(B835,"\"),6),"")</f>
        <v/>
      </c>
      <c r="D835" t="str" cm="1">
        <f t="array" ref="D835">IF(ISBLANK(B836),"",INDEX(_xlfn.TEXTSPLIT(B836,"    "),4))</f>
        <v/>
      </c>
    </row>
    <row r="838" spans="3:4" x14ac:dyDescent="0.25">
      <c r="C838" t="str" cm="1">
        <f t="array" ref="C838">IF(ISNUMBER(SEARCH("\",B838)),INDEX(_xlfn.TEXTSPLIT(B838,"\"),6),"")</f>
        <v/>
      </c>
      <c r="D838" t="str" cm="1">
        <f t="array" ref="D838">IF(ISBLANK(B839),"",INDEX(_xlfn.TEXTSPLIT(B839,"    "),4))</f>
        <v/>
      </c>
    </row>
    <row r="841" spans="3:4" x14ac:dyDescent="0.25">
      <c r="C841" t="str" cm="1">
        <f t="array" ref="C841">IF(ISNUMBER(SEARCH("\",B841)),INDEX(_xlfn.TEXTSPLIT(B841,"\"),6),"")</f>
        <v/>
      </c>
      <c r="D841" t="str" cm="1">
        <f t="array" ref="D841">IF(ISBLANK(B842),"",INDEX(_xlfn.TEXTSPLIT(B842,"    "),4))</f>
        <v/>
      </c>
    </row>
    <row r="844" spans="3:4" x14ac:dyDescent="0.25">
      <c r="C844" t="str" cm="1">
        <f t="array" ref="C844">IF(ISNUMBER(SEARCH("\",B844)),INDEX(_xlfn.TEXTSPLIT(B844,"\"),6),"")</f>
        <v/>
      </c>
      <c r="D844" t="str" cm="1">
        <f t="array" ref="D844">IF(ISBLANK(B845),"",INDEX(_xlfn.TEXTSPLIT(B845,"    "),4))</f>
        <v/>
      </c>
    </row>
    <row r="847" spans="3:4" x14ac:dyDescent="0.25">
      <c r="C847" t="str" cm="1">
        <f t="array" ref="C847">IF(ISNUMBER(SEARCH("\",B847)),INDEX(_xlfn.TEXTSPLIT(B847,"\"),6),"")</f>
        <v/>
      </c>
      <c r="D847" t="str" cm="1">
        <f t="array" ref="D847">IF(ISBLANK(B848),"",INDEX(_xlfn.TEXTSPLIT(B848,"    "),4))</f>
        <v/>
      </c>
    </row>
    <row r="850" spans="3:4" x14ac:dyDescent="0.25">
      <c r="C850" t="str" cm="1">
        <f t="array" ref="C850">IF(ISNUMBER(SEARCH("\",B850)),INDEX(_xlfn.TEXTSPLIT(B850,"\"),6),"")</f>
        <v/>
      </c>
      <c r="D850" t="str" cm="1">
        <f t="array" ref="D850">IF(ISBLANK(B851),"",INDEX(_xlfn.TEXTSPLIT(B851,"    "),4))</f>
        <v/>
      </c>
    </row>
    <row r="853" spans="3:4" x14ac:dyDescent="0.25">
      <c r="C853" t="str" cm="1">
        <f t="array" ref="C853">IF(ISNUMBER(SEARCH("\",B853)),INDEX(_xlfn.TEXTSPLIT(B853,"\"),6),"")</f>
        <v/>
      </c>
      <c r="D853" t="str" cm="1">
        <f t="array" ref="D853">IF(ISBLANK(B854),"",INDEX(_xlfn.TEXTSPLIT(B854,"    "),4))</f>
        <v/>
      </c>
    </row>
    <row r="856" spans="3:4" x14ac:dyDescent="0.25">
      <c r="C856" t="str" cm="1">
        <f t="array" ref="C856">IF(ISNUMBER(SEARCH("\",B856)),INDEX(_xlfn.TEXTSPLIT(B856,"\"),6),"")</f>
        <v/>
      </c>
      <c r="D856" t="str" cm="1">
        <f t="array" ref="D856">IF(ISBLANK(B857),"",INDEX(_xlfn.TEXTSPLIT(B857,"    "),4))</f>
        <v/>
      </c>
    </row>
    <row r="859" spans="3:4" x14ac:dyDescent="0.25">
      <c r="C859" t="str" cm="1">
        <f t="array" ref="C859">IF(ISNUMBER(SEARCH("\",B859)),INDEX(_xlfn.TEXTSPLIT(B859,"\"),6),"")</f>
        <v/>
      </c>
      <c r="D859" t="str" cm="1">
        <f t="array" ref="D859">IF(ISBLANK(B860),"",INDEX(_xlfn.TEXTSPLIT(B860,"    "),4))</f>
        <v/>
      </c>
    </row>
    <row r="862" spans="3:4" x14ac:dyDescent="0.25">
      <c r="C862" t="str" cm="1">
        <f t="array" ref="C862">IF(ISNUMBER(SEARCH("\",B862)),INDEX(_xlfn.TEXTSPLIT(B862,"\"),6),"")</f>
        <v/>
      </c>
      <c r="D862" t="str" cm="1">
        <f t="array" ref="D862">IF(ISBLANK(B863),"",INDEX(_xlfn.TEXTSPLIT(B863,"    "),4))</f>
        <v/>
      </c>
    </row>
    <row r="865" spans="3:4" x14ac:dyDescent="0.25">
      <c r="C865" t="str" cm="1">
        <f t="array" ref="C865">IF(ISNUMBER(SEARCH("\",B865)),INDEX(_xlfn.TEXTSPLIT(B865,"\"),6),"")</f>
        <v/>
      </c>
      <c r="D865" t="str" cm="1">
        <f t="array" ref="D865">IF(ISBLANK(B866),"",INDEX(_xlfn.TEXTSPLIT(B866,"    "),4))</f>
        <v/>
      </c>
    </row>
    <row r="868" spans="3:4" x14ac:dyDescent="0.25">
      <c r="C868" t="str" cm="1">
        <f t="array" ref="C868">IF(ISNUMBER(SEARCH("\",B868)),INDEX(_xlfn.TEXTSPLIT(B868,"\"),6),"")</f>
        <v/>
      </c>
      <c r="D868" t="str" cm="1">
        <f t="array" ref="D868">IF(ISBLANK(B869),"",INDEX(_xlfn.TEXTSPLIT(B869,"    "),4))</f>
        <v/>
      </c>
    </row>
    <row r="871" spans="3:4" x14ac:dyDescent="0.25">
      <c r="C871" t="str" cm="1">
        <f t="array" ref="C871">IF(ISNUMBER(SEARCH("\",B871)),INDEX(_xlfn.TEXTSPLIT(B871,"\"),6),"")</f>
        <v/>
      </c>
      <c r="D871" t="str" cm="1">
        <f t="array" ref="D871">IF(ISBLANK(B872),"",INDEX(_xlfn.TEXTSPLIT(B872,"    "),4))</f>
        <v/>
      </c>
    </row>
    <row r="874" spans="3:4" x14ac:dyDescent="0.25">
      <c r="C874" t="str" cm="1">
        <f t="array" ref="C874">IF(ISNUMBER(SEARCH("\",B874)),INDEX(_xlfn.TEXTSPLIT(B874,"\"),6),"")</f>
        <v/>
      </c>
      <c r="D874" t="str" cm="1">
        <f t="array" ref="D874">IF(ISBLANK(B875),"",INDEX(_xlfn.TEXTSPLIT(B875,"    "),4))</f>
        <v/>
      </c>
    </row>
    <row r="877" spans="3:4" x14ac:dyDescent="0.25">
      <c r="C877" t="str" cm="1">
        <f t="array" ref="C877">IF(ISNUMBER(SEARCH("\",B877)),INDEX(_xlfn.TEXTSPLIT(B877,"\"),6),"")</f>
        <v/>
      </c>
      <c r="D877" t="str" cm="1">
        <f t="array" ref="D877">IF(ISBLANK(B878),"",INDEX(_xlfn.TEXTSPLIT(B878,"    "),4))</f>
        <v/>
      </c>
    </row>
    <row r="880" spans="3:4" x14ac:dyDescent="0.25">
      <c r="C880" t="str" cm="1">
        <f t="array" ref="C880">IF(ISNUMBER(SEARCH("\",B880)),INDEX(_xlfn.TEXTSPLIT(B880,"\"),6),"")</f>
        <v/>
      </c>
      <c r="D880" t="str" cm="1">
        <f t="array" ref="D880">IF(ISBLANK(B881),"",INDEX(_xlfn.TEXTSPLIT(B881,"    "),4))</f>
        <v/>
      </c>
    </row>
    <row r="883" spans="3:4" x14ac:dyDescent="0.25">
      <c r="C883" t="str" cm="1">
        <f t="array" ref="C883">IF(ISNUMBER(SEARCH("\",B883)),INDEX(_xlfn.TEXTSPLIT(B883,"\"),6),"")</f>
        <v/>
      </c>
      <c r="D883" t="str" cm="1">
        <f t="array" ref="D883">IF(ISBLANK(B884),"",INDEX(_xlfn.TEXTSPLIT(B884,"    "),4))</f>
        <v/>
      </c>
    </row>
    <row r="886" spans="3:4" x14ac:dyDescent="0.25">
      <c r="C886" t="str" cm="1">
        <f t="array" ref="C886">IF(ISNUMBER(SEARCH("\",B886)),INDEX(_xlfn.TEXTSPLIT(B886,"\"),6),"")</f>
        <v/>
      </c>
      <c r="D886" t="str" cm="1">
        <f t="array" ref="D886">IF(ISBLANK(B887),"",INDEX(_xlfn.TEXTSPLIT(B887,"    "),4))</f>
        <v/>
      </c>
    </row>
    <row r="889" spans="3:4" x14ac:dyDescent="0.25">
      <c r="C889" t="str" cm="1">
        <f t="array" ref="C889">IF(ISNUMBER(SEARCH("\",B889)),INDEX(_xlfn.TEXTSPLIT(B889,"\"),6),"")</f>
        <v/>
      </c>
      <c r="D889" t="str" cm="1">
        <f t="array" ref="D889">IF(ISBLANK(B890),"",INDEX(_xlfn.TEXTSPLIT(B890,"    "),4))</f>
        <v/>
      </c>
    </row>
    <row r="892" spans="3:4" x14ac:dyDescent="0.25">
      <c r="C892" t="str" cm="1">
        <f t="array" ref="C892">IF(ISNUMBER(SEARCH("\",B892)),INDEX(_xlfn.TEXTSPLIT(B892,"\"),6),"")</f>
        <v/>
      </c>
      <c r="D892" t="str" cm="1">
        <f t="array" ref="D892">IF(ISBLANK(B893),"",INDEX(_xlfn.TEXTSPLIT(B893,"    "),4))</f>
        <v/>
      </c>
    </row>
    <row r="895" spans="3:4" x14ac:dyDescent="0.25">
      <c r="C895" t="str" cm="1">
        <f t="array" ref="C895">IF(ISNUMBER(SEARCH("\",B895)),INDEX(_xlfn.TEXTSPLIT(B895,"\"),6),"")</f>
        <v/>
      </c>
      <c r="D895" t="str" cm="1">
        <f t="array" ref="D895">IF(ISBLANK(B896),"",INDEX(_xlfn.TEXTSPLIT(B896,"    "),4))</f>
        <v/>
      </c>
    </row>
    <row r="898" spans="3:4" x14ac:dyDescent="0.25">
      <c r="C898" t="str" cm="1">
        <f t="array" ref="C898">IF(ISNUMBER(SEARCH("\",B898)),INDEX(_xlfn.TEXTSPLIT(B898,"\"),6),"")</f>
        <v/>
      </c>
      <c r="D898" t="str" cm="1">
        <f t="array" ref="D898">IF(ISBLANK(B899),"",INDEX(_xlfn.TEXTSPLIT(B899,"    "),4))</f>
        <v/>
      </c>
    </row>
    <row r="901" spans="3:4" x14ac:dyDescent="0.25">
      <c r="C901" t="str" cm="1">
        <f t="array" ref="C901">IF(ISNUMBER(SEARCH("\",B901)),INDEX(_xlfn.TEXTSPLIT(B901,"\"),6),"")</f>
        <v/>
      </c>
      <c r="D901" t="str" cm="1">
        <f t="array" ref="D901">IF(ISBLANK(B902),"",INDEX(_xlfn.TEXTSPLIT(B902,"    "),4))</f>
        <v/>
      </c>
    </row>
    <row r="904" spans="3:4" x14ac:dyDescent="0.25">
      <c r="C904" t="str" cm="1">
        <f t="array" ref="C904">IF(ISNUMBER(SEARCH("\",B904)),INDEX(_xlfn.TEXTSPLIT(B904,"\"),6),"")</f>
        <v/>
      </c>
      <c r="D904" t="str" cm="1">
        <f t="array" ref="D904">IF(ISBLANK(B905),"",INDEX(_xlfn.TEXTSPLIT(B905,"    "),4))</f>
        <v/>
      </c>
    </row>
    <row r="907" spans="3:4" x14ac:dyDescent="0.25">
      <c r="C907" t="str" cm="1">
        <f t="array" ref="C907">IF(ISNUMBER(SEARCH("\",B907)),INDEX(_xlfn.TEXTSPLIT(B907,"\"),6),"")</f>
        <v/>
      </c>
      <c r="D907" t="str" cm="1">
        <f t="array" ref="D907">IF(ISBLANK(B908),"",INDEX(_xlfn.TEXTSPLIT(B908,"    "),4))</f>
        <v/>
      </c>
    </row>
    <row r="910" spans="3:4" x14ac:dyDescent="0.25">
      <c r="C910" t="str" cm="1">
        <f t="array" ref="C910">IF(ISNUMBER(SEARCH("\",B910)),INDEX(_xlfn.TEXTSPLIT(B910,"\"),6),"")</f>
        <v/>
      </c>
      <c r="D910" t="str" cm="1">
        <f t="array" ref="D910">IF(ISBLANK(B911),"",INDEX(_xlfn.TEXTSPLIT(B911,"    "),4))</f>
        <v/>
      </c>
    </row>
    <row r="913" spans="3:4" x14ac:dyDescent="0.25">
      <c r="C913" t="str" cm="1">
        <f t="array" ref="C913">IF(ISNUMBER(SEARCH("\",B913)),INDEX(_xlfn.TEXTSPLIT(B913,"\"),6),"")</f>
        <v/>
      </c>
      <c r="D913" t="str" cm="1">
        <f t="array" ref="D913">IF(ISBLANK(B914),"",INDEX(_xlfn.TEXTSPLIT(B914,"    "),4))</f>
        <v/>
      </c>
    </row>
    <row r="916" spans="3:4" x14ac:dyDescent="0.25">
      <c r="C916" t="str" cm="1">
        <f t="array" ref="C916">IF(ISNUMBER(SEARCH("\",B916)),INDEX(_xlfn.TEXTSPLIT(B916,"\"),6),"")</f>
        <v/>
      </c>
      <c r="D916" t="str" cm="1">
        <f t="array" ref="D916">IF(ISBLANK(B917),"",INDEX(_xlfn.TEXTSPLIT(B917,"    "),4))</f>
        <v/>
      </c>
    </row>
    <row r="919" spans="3:4" x14ac:dyDescent="0.25">
      <c r="C919" t="str" cm="1">
        <f t="array" ref="C919">IF(ISNUMBER(SEARCH("\",B919)),INDEX(_xlfn.TEXTSPLIT(B919,"\"),6),"")</f>
        <v/>
      </c>
      <c r="D919" t="str" cm="1">
        <f t="array" ref="D919">IF(ISBLANK(B920),"",INDEX(_xlfn.TEXTSPLIT(B920,"    "),4))</f>
        <v/>
      </c>
    </row>
    <row r="922" spans="3:4" x14ac:dyDescent="0.25">
      <c r="C922" t="str" cm="1">
        <f t="array" ref="C922">IF(ISNUMBER(SEARCH("\",B922)),INDEX(_xlfn.TEXTSPLIT(B922,"\"),6),"")</f>
        <v/>
      </c>
      <c r="D922" t="str" cm="1">
        <f t="array" ref="D922">IF(ISBLANK(B923),"",INDEX(_xlfn.TEXTSPLIT(B923,"    "),4))</f>
        <v/>
      </c>
    </row>
    <row r="925" spans="3:4" x14ac:dyDescent="0.25">
      <c r="C925" t="str" cm="1">
        <f t="array" ref="C925">IF(ISNUMBER(SEARCH("\",B925)),INDEX(_xlfn.TEXTSPLIT(B925,"\"),6),"")</f>
        <v/>
      </c>
      <c r="D925" t="str" cm="1">
        <f t="array" ref="D925">IF(ISBLANK(B926),"",INDEX(_xlfn.TEXTSPLIT(B926,"    "),4))</f>
        <v/>
      </c>
    </row>
    <row r="928" spans="3:4" x14ac:dyDescent="0.25">
      <c r="C928" t="str" cm="1">
        <f t="array" ref="C928">IF(ISNUMBER(SEARCH("\",B928)),INDEX(_xlfn.TEXTSPLIT(B928,"\"),6),"")</f>
        <v/>
      </c>
      <c r="D928" t="str" cm="1">
        <f t="array" ref="D928">IF(ISBLANK(B929),"",INDEX(_xlfn.TEXTSPLIT(B929,"    "),4))</f>
        <v/>
      </c>
    </row>
    <row r="931" spans="3:4" x14ac:dyDescent="0.25">
      <c r="C931" t="str" cm="1">
        <f t="array" ref="C931">IF(ISNUMBER(SEARCH("\",B931)),INDEX(_xlfn.TEXTSPLIT(B931,"\"),6),"")</f>
        <v/>
      </c>
      <c r="D931" t="str" cm="1">
        <f t="array" ref="D931">IF(ISBLANK(B932),"",INDEX(_xlfn.TEXTSPLIT(B932,"    "),4))</f>
        <v/>
      </c>
    </row>
    <row r="934" spans="3:4" x14ac:dyDescent="0.25">
      <c r="C934" t="str" cm="1">
        <f t="array" ref="C934">IF(ISNUMBER(SEARCH("\",B934)),INDEX(_xlfn.TEXTSPLIT(B934,"\"),6),"")</f>
        <v/>
      </c>
      <c r="D934" t="str" cm="1">
        <f t="array" ref="D934">IF(ISBLANK(B935),"",INDEX(_xlfn.TEXTSPLIT(B935,"    "),4))</f>
        <v/>
      </c>
    </row>
    <row r="937" spans="3:4" x14ac:dyDescent="0.25">
      <c r="C937" t="str" cm="1">
        <f t="array" ref="C937">IF(ISNUMBER(SEARCH("\",B937)),INDEX(_xlfn.TEXTSPLIT(B937,"\"),6),"")</f>
        <v/>
      </c>
      <c r="D937" t="str" cm="1">
        <f t="array" ref="D937">IF(ISBLANK(B938),"",INDEX(_xlfn.TEXTSPLIT(B938,"    "),4))</f>
        <v/>
      </c>
    </row>
    <row r="940" spans="3:4" x14ac:dyDescent="0.25">
      <c r="C940" t="str" cm="1">
        <f t="array" ref="C940">IF(ISNUMBER(SEARCH("\",B940)),INDEX(_xlfn.TEXTSPLIT(B940,"\"),6),"")</f>
        <v/>
      </c>
      <c r="D940" t="str" cm="1">
        <f t="array" ref="D940">IF(ISBLANK(B941),"",INDEX(_xlfn.TEXTSPLIT(B941,"    "),4))</f>
        <v/>
      </c>
    </row>
    <row r="943" spans="3:4" x14ac:dyDescent="0.25">
      <c r="C943" t="str" cm="1">
        <f t="array" ref="C943">IF(ISNUMBER(SEARCH("\",B943)),INDEX(_xlfn.TEXTSPLIT(B943,"\"),6),"")</f>
        <v/>
      </c>
      <c r="D943" t="str" cm="1">
        <f t="array" ref="D943">IF(ISBLANK(B944),"",INDEX(_xlfn.TEXTSPLIT(B944,"    "),4))</f>
        <v/>
      </c>
    </row>
    <row r="946" spans="3:4" x14ac:dyDescent="0.25">
      <c r="C946" t="str" cm="1">
        <f t="array" ref="C946">IF(ISNUMBER(SEARCH("\",B946)),INDEX(_xlfn.TEXTSPLIT(B946,"\"),6),"")</f>
        <v/>
      </c>
      <c r="D946" t="str" cm="1">
        <f t="array" ref="D946">IF(ISBLANK(B947),"",INDEX(_xlfn.TEXTSPLIT(B947,"    "),4))</f>
        <v/>
      </c>
    </row>
    <row r="949" spans="3:4" x14ac:dyDescent="0.25">
      <c r="C949" t="str" cm="1">
        <f t="array" ref="C949">IF(ISNUMBER(SEARCH("\",B949)),INDEX(_xlfn.TEXTSPLIT(B949,"\"),6),"")</f>
        <v/>
      </c>
      <c r="D949" t="str" cm="1">
        <f t="array" ref="D949">IF(ISBLANK(B950),"",INDEX(_xlfn.TEXTSPLIT(B950,"    "),4))</f>
        <v/>
      </c>
    </row>
    <row r="952" spans="3:4" x14ac:dyDescent="0.25">
      <c r="C952" t="str" cm="1">
        <f t="array" ref="C952">IF(ISNUMBER(SEARCH("\",B952)),INDEX(_xlfn.TEXTSPLIT(B952,"\"),6),"")</f>
        <v/>
      </c>
      <c r="D952" t="str" cm="1">
        <f t="array" ref="D952">IF(ISBLANK(B953),"",INDEX(_xlfn.TEXTSPLIT(B953,"    "),4))</f>
        <v/>
      </c>
    </row>
    <row r="955" spans="3:4" x14ac:dyDescent="0.25">
      <c r="C955" t="str" cm="1">
        <f t="array" ref="C955">IF(ISNUMBER(SEARCH("\",B955)),INDEX(_xlfn.TEXTSPLIT(B955,"\"),6),"")</f>
        <v/>
      </c>
      <c r="D955" t="str" cm="1">
        <f t="array" ref="D955">IF(ISBLANK(B956),"",INDEX(_xlfn.TEXTSPLIT(B956,"    "),4))</f>
        <v/>
      </c>
    </row>
    <row r="958" spans="3:4" x14ac:dyDescent="0.25">
      <c r="C958" t="str" cm="1">
        <f t="array" ref="C958">IF(ISNUMBER(SEARCH("\",B958)),INDEX(_xlfn.TEXTSPLIT(B958,"\"),6),"")</f>
        <v/>
      </c>
      <c r="D958" t="str" cm="1">
        <f t="array" ref="D958">IF(ISBLANK(B959),"",INDEX(_xlfn.TEXTSPLIT(B959,"    "),4))</f>
        <v/>
      </c>
    </row>
    <row r="961" spans="3:4" x14ac:dyDescent="0.25">
      <c r="C961" t="str" cm="1">
        <f t="array" ref="C961">IF(ISNUMBER(SEARCH("\",B961)),INDEX(_xlfn.TEXTSPLIT(B961,"\"),6),"")</f>
        <v/>
      </c>
      <c r="D961" t="str" cm="1">
        <f t="array" ref="D961">IF(ISBLANK(B962),"",INDEX(_xlfn.TEXTSPLIT(B962,"    "),4))</f>
        <v/>
      </c>
    </row>
    <row r="964" spans="3:4" x14ac:dyDescent="0.25">
      <c r="C964" t="str" cm="1">
        <f t="array" ref="C964">IF(ISNUMBER(SEARCH("\",B964)),INDEX(_xlfn.TEXTSPLIT(B964,"\"),6),"")</f>
        <v/>
      </c>
      <c r="D964" t="str" cm="1">
        <f t="array" ref="D964">IF(ISBLANK(B965),"",INDEX(_xlfn.TEXTSPLIT(B965,"    "),4))</f>
        <v/>
      </c>
    </row>
    <row r="967" spans="3:4" x14ac:dyDescent="0.25">
      <c r="C967" t="str" cm="1">
        <f t="array" ref="C967">IF(ISNUMBER(SEARCH("\",B967)),INDEX(_xlfn.TEXTSPLIT(B967,"\"),6),"")</f>
        <v/>
      </c>
      <c r="D967" t="str" cm="1">
        <f t="array" ref="D967">IF(ISBLANK(B968),"",INDEX(_xlfn.TEXTSPLIT(B968,"    "),4))</f>
        <v/>
      </c>
    </row>
    <row r="970" spans="3:4" x14ac:dyDescent="0.25">
      <c r="C970" t="str" cm="1">
        <f t="array" ref="C970">IF(ISNUMBER(SEARCH("\",B970)),INDEX(_xlfn.TEXTSPLIT(B970,"\"),6),"")</f>
        <v/>
      </c>
      <c r="D970" t="str" cm="1">
        <f t="array" ref="D970">IF(ISBLANK(B971),"",INDEX(_xlfn.TEXTSPLIT(B971,"    "),4))</f>
        <v/>
      </c>
    </row>
    <row r="973" spans="3:4" x14ac:dyDescent="0.25">
      <c r="C973" t="str" cm="1">
        <f t="array" ref="C973">IF(ISNUMBER(SEARCH("\",B973)),INDEX(_xlfn.TEXTSPLIT(B973,"\"),6),"")</f>
        <v/>
      </c>
      <c r="D973" t="str" cm="1">
        <f t="array" ref="D973">IF(ISBLANK(B974),"",INDEX(_xlfn.TEXTSPLIT(B974,"    "),4))</f>
        <v/>
      </c>
    </row>
    <row r="976" spans="3:4" x14ac:dyDescent="0.25">
      <c r="C976" t="str" cm="1">
        <f t="array" ref="C976">IF(ISNUMBER(SEARCH("\",B976)),INDEX(_xlfn.TEXTSPLIT(B976,"\"),6),"")</f>
        <v/>
      </c>
      <c r="D976" t="str" cm="1">
        <f t="array" ref="D976">IF(ISBLANK(B977),"",INDEX(_xlfn.TEXTSPLIT(B977,"    "),4))</f>
        <v/>
      </c>
    </row>
    <row r="979" spans="3:4" x14ac:dyDescent="0.25">
      <c r="C979" t="str" cm="1">
        <f t="array" ref="C979">IF(ISNUMBER(SEARCH("\",B979)),INDEX(_xlfn.TEXTSPLIT(B979,"\"),6),"")</f>
        <v/>
      </c>
      <c r="D979" t="str" cm="1">
        <f t="array" ref="D979">IF(ISBLANK(B980),"",INDEX(_xlfn.TEXTSPLIT(B980,"    "),4))</f>
        <v/>
      </c>
    </row>
    <row r="982" spans="3:4" x14ac:dyDescent="0.25">
      <c r="C982" t="str" cm="1">
        <f t="array" ref="C982">IF(ISNUMBER(SEARCH("\",B982)),INDEX(_xlfn.TEXTSPLIT(B982,"\"),6),"")</f>
        <v/>
      </c>
      <c r="D982" t="str" cm="1">
        <f t="array" ref="D982">IF(ISBLANK(B983),"",INDEX(_xlfn.TEXTSPLIT(B983,"    "),4))</f>
        <v/>
      </c>
    </row>
    <row r="985" spans="3:4" x14ac:dyDescent="0.25">
      <c r="C985" t="str" cm="1">
        <f t="array" ref="C985">IF(ISNUMBER(SEARCH("\",B985)),INDEX(_xlfn.TEXTSPLIT(B985,"\"),6),"")</f>
        <v/>
      </c>
      <c r="D985" t="str" cm="1">
        <f t="array" ref="D985">IF(ISBLANK(B986),"",INDEX(_xlfn.TEXTSPLIT(B986,"    "),4))</f>
        <v/>
      </c>
    </row>
    <row r="988" spans="3:4" x14ac:dyDescent="0.25">
      <c r="C988" t="str" cm="1">
        <f t="array" ref="C988">IF(ISNUMBER(SEARCH("\",B988)),INDEX(_xlfn.TEXTSPLIT(B988,"\"),6),"")</f>
        <v/>
      </c>
      <c r="D988" t="str" cm="1">
        <f t="array" ref="D988">IF(ISBLANK(B989),"",INDEX(_xlfn.TEXTSPLIT(B989,"    "),4))</f>
        <v/>
      </c>
    </row>
    <row r="991" spans="3:4" x14ac:dyDescent="0.25">
      <c r="C991" t="str" cm="1">
        <f t="array" ref="C991">IF(ISNUMBER(SEARCH("\",B991)),INDEX(_xlfn.TEXTSPLIT(B991,"\"),6),"")</f>
        <v/>
      </c>
      <c r="D991" t="str" cm="1">
        <f t="array" ref="D991">IF(ISBLANK(B992),"",INDEX(_xlfn.TEXTSPLIT(B992,"    "),4))</f>
        <v/>
      </c>
    </row>
    <row r="994" spans="3:4" x14ac:dyDescent="0.25">
      <c r="C994" t="str" cm="1">
        <f t="array" ref="C994">IF(ISNUMBER(SEARCH("\",B994)),INDEX(_xlfn.TEXTSPLIT(B994,"\"),6),"")</f>
        <v/>
      </c>
      <c r="D994" t="str" cm="1">
        <f t="array" ref="D994">IF(ISBLANK(B995),"",INDEX(_xlfn.TEXTSPLIT(B995,"    "),4))</f>
        <v/>
      </c>
    </row>
    <row r="997" spans="3:4" x14ac:dyDescent="0.25">
      <c r="C997" t="str" cm="1">
        <f t="array" ref="C997">IF(ISNUMBER(SEARCH("\",B997)),INDEX(_xlfn.TEXTSPLIT(B997,"\"),6),"")</f>
        <v/>
      </c>
      <c r="D997" t="str" cm="1">
        <f t="array" ref="D997">IF(ISBLANK(B998),"",INDEX(_xlfn.TEXTSPLIT(B998,"    "),4))</f>
        <v/>
      </c>
    </row>
    <row r="1000" spans="3:4" x14ac:dyDescent="0.25">
      <c r="C1000" t="str" cm="1">
        <f t="array" ref="C1000">IF(ISNUMBER(SEARCH("\",B1000)),INDEX(_xlfn.TEXTSPLIT(B1000,"\"),6),"")</f>
        <v/>
      </c>
      <c r="D1000" t="str" cm="1">
        <f t="array" ref="D1000">IF(ISBLANK(B1001),"",INDEX(_xlfn.TEXTSPLIT(B1001,"    "),4))</f>
        <v/>
      </c>
    </row>
    <row r="1003" spans="3:4" x14ac:dyDescent="0.25">
      <c r="C1003" t="str" cm="1">
        <f t="array" ref="C1003">IF(ISNUMBER(SEARCH("\",B1003)),INDEX(_xlfn.TEXTSPLIT(B1003,"\"),6),"")</f>
        <v/>
      </c>
      <c r="D1003" t="str" cm="1">
        <f t="array" ref="D1003">IF(ISBLANK(B1004),"",INDEX(_xlfn.TEXTSPLIT(B1004,"    "),4))</f>
        <v/>
      </c>
    </row>
    <row r="1006" spans="3:4" x14ac:dyDescent="0.25">
      <c r="C1006" t="str" cm="1">
        <f t="array" ref="C1006">IF(ISNUMBER(SEARCH("\",B1006)),INDEX(_xlfn.TEXTSPLIT(B1006,"\"),6),"")</f>
        <v/>
      </c>
      <c r="D1006" t="str" cm="1">
        <f t="array" ref="D1006">IF(ISBLANK(B1007),"",INDEX(_xlfn.TEXTSPLIT(B1007,"    "),4))</f>
        <v/>
      </c>
    </row>
    <row r="1009" spans="3:4" x14ac:dyDescent="0.25">
      <c r="C1009" t="str" cm="1">
        <f t="array" ref="C1009">IF(ISNUMBER(SEARCH("\",B1009)),INDEX(_xlfn.TEXTSPLIT(B1009,"\"),6),"")</f>
        <v/>
      </c>
      <c r="D1009" t="str" cm="1">
        <f t="array" ref="D1009">IF(ISBLANK(B1010),"",INDEX(_xlfn.TEXTSPLIT(B1010,"    "),4))</f>
        <v/>
      </c>
    </row>
    <row r="1012" spans="3:4" x14ac:dyDescent="0.25">
      <c r="C1012" t="str" cm="1">
        <f t="array" ref="C1012">IF(ISNUMBER(SEARCH("\",B1012)),INDEX(_xlfn.TEXTSPLIT(B1012,"\"),6),"")</f>
        <v/>
      </c>
      <c r="D1012" t="str" cm="1">
        <f t="array" ref="D1012">IF(ISBLANK(B1013),"",INDEX(_xlfn.TEXTSPLIT(B1013,"    "),4))</f>
        <v/>
      </c>
    </row>
    <row r="1015" spans="3:4" x14ac:dyDescent="0.25">
      <c r="C1015" t="str" cm="1">
        <f t="array" ref="C1015">IF(ISNUMBER(SEARCH("\",B1015)),INDEX(_xlfn.TEXTSPLIT(B1015,"\"),6),"")</f>
        <v/>
      </c>
      <c r="D1015" t="str" cm="1">
        <f t="array" ref="D1015">IF(ISBLANK(B1016),"",INDEX(_xlfn.TEXTSPLIT(B1016,"    "),4))</f>
        <v/>
      </c>
    </row>
    <row r="1018" spans="3:4" x14ac:dyDescent="0.25">
      <c r="C1018" t="str" cm="1">
        <f t="array" ref="C1018">IF(ISNUMBER(SEARCH("\",B1018)),INDEX(_xlfn.TEXTSPLIT(B1018,"\"),6),"")</f>
        <v/>
      </c>
      <c r="D1018" t="str" cm="1">
        <f t="array" ref="D1018">IF(ISBLANK(B1019),"",INDEX(_xlfn.TEXTSPLIT(B1019,"    "),4))</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12792-EB14-47EB-B843-B010810FD881}">
  <sheetPr codeName="Sheet4"/>
  <dimension ref="B1:C111"/>
  <sheetViews>
    <sheetView topLeftCell="A36" workbookViewId="0">
      <selection activeCell="F91" sqref="F91"/>
    </sheetView>
  </sheetViews>
  <sheetFormatPr defaultRowHeight="15" x14ac:dyDescent="0.25"/>
  <cols>
    <col min="3" max="3" width="28.25" customWidth="1"/>
  </cols>
  <sheetData>
    <row r="1" spans="2:3" x14ac:dyDescent="0.25">
      <c r="B1" t="s">
        <v>352</v>
      </c>
    </row>
    <row r="2" spans="2:3" ht="18.75" x14ac:dyDescent="0.3">
      <c r="B2" s="35" t="s">
        <v>353</v>
      </c>
      <c r="C2" s="35" t="s">
        <v>46</v>
      </c>
    </row>
    <row r="3" spans="2:3" x14ac:dyDescent="0.25">
      <c r="B3" t="str" cm="1">
        <f t="array" ref="B3:C111">_xlfn._xlws.SORT(_xlfn._xlws.FILTER(Shortcuts!C4:D214, _xlfn.BYROW(Shortcuts!C4:D214,_xlfn.LAMBDA(_xlpm.row, SUM( --( _xlpm.row &lt;&gt; ""))&lt;&gt;0))))</f>
        <v>/cl</v>
      </c>
      <c r="C3" t="str">
        <v>send clipboard</v>
      </c>
    </row>
    <row r="4" spans="2:3" x14ac:dyDescent="0.25">
      <c r="B4" t="str">
        <v>/dn</v>
      </c>
      <c r="C4" t="str">
        <v>Send date in DD-MM-YYYY</v>
      </c>
    </row>
    <row r="5" spans="2:3" x14ac:dyDescent="0.25">
      <c r="B5" t="str">
        <v>/ds</v>
      </c>
      <c r="C5" t="str">
        <v>Send date in YYYYMMDD</v>
      </c>
    </row>
    <row r="6" spans="2:3" x14ac:dyDescent="0.25">
      <c r="B6" t="str">
        <v>/idk</v>
      </c>
      <c r="C6" t="str">
        <v>Send ¯\_(ツ)_/¯</v>
      </c>
    </row>
    <row r="7" spans="2:3" x14ac:dyDescent="0.25">
      <c r="B7" t="str">
        <v>/la</v>
      </c>
      <c r="C7" t="str">
        <v>Send 😂</v>
      </c>
    </row>
    <row r="8" spans="2:3" x14ac:dyDescent="0.25">
      <c r="B8" t="str">
        <v>/li</v>
      </c>
      <c r="C8" t="str">
        <v>Send LIKE '%%'</v>
      </c>
    </row>
    <row r="9" spans="2:3" x14ac:dyDescent="0.25">
      <c r="B9" t="str">
        <v>/ms</v>
      </c>
      <c r="C9" t="str">
        <v>Send mail signature</v>
      </c>
    </row>
    <row r="10" spans="2:3" x14ac:dyDescent="0.25">
      <c r="B10" t="str">
        <v>/or</v>
      </c>
      <c r="C10" t="str">
        <v>Send ORDER BY DESC</v>
      </c>
    </row>
    <row r="11" spans="2:3" x14ac:dyDescent="0.25">
      <c r="B11" t="str">
        <v>/sa</v>
      </c>
      <c r="C11" t="str">
        <v xml:space="preserve">Send SELECT * FROM </v>
      </c>
    </row>
    <row r="12" spans="2:3" x14ac:dyDescent="0.25">
      <c r="B12" t="str">
        <v>/sw</v>
      </c>
      <c r="C12" t="str">
        <v>Send 😅</v>
      </c>
    </row>
    <row r="13" spans="2:3" x14ac:dyDescent="0.25">
      <c r="B13" t="str">
        <v>/tu</v>
      </c>
      <c r="C13" t="str">
        <v>Send 👍</v>
      </c>
    </row>
    <row r="14" spans="2:3" x14ac:dyDescent="0.25">
      <c r="B14" t="str">
        <v>?</v>
      </c>
      <c r="C14" t="str">
        <v>Help</v>
      </c>
    </row>
    <row r="15" spans="2:3" x14ac:dyDescent="0.25">
      <c r="B15" t="str">
        <v>a dir</v>
      </c>
      <c r="C15" t="str">
        <v>Launcher Dir</v>
      </c>
    </row>
    <row r="16" spans="2:3" x14ac:dyDescent="0.25">
      <c r="B16" t="str">
        <v>a edit</v>
      </c>
      <c r="C16" t="str">
        <v>Launcher edit in Pycharm</v>
      </c>
    </row>
    <row r="17" spans="2:3" x14ac:dyDescent="0.25">
      <c r="B17" t="str">
        <v>a kill</v>
      </c>
      <c r="C17" t="str">
        <v>Kill</v>
      </c>
    </row>
    <row r="18" spans="2:3" x14ac:dyDescent="0.25">
      <c r="B18" t="str">
        <v>a rel</v>
      </c>
      <c r="C18" t="str">
        <v>Reload</v>
      </c>
    </row>
    <row r="19" spans="2:3" x14ac:dyDescent="0.25">
      <c r="B19" t="str">
        <v>a show</v>
      </c>
      <c r="C19" t="str">
        <v>AHK show scripts</v>
      </c>
    </row>
    <row r="20" spans="2:3" x14ac:dyDescent="0.25">
      <c r="B20" t="str">
        <v>a sta</v>
      </c>
      <c r="C20" t="str">
        <v>Start</v>
      </c>
    </row>
    <row r="21" spans="2:3" x14ac:dyDescent="0.25">
      <c r="B21" t="str">
        <v>a xl</v>
      </c>
      <c r="C21" t="str">
        <v>Launcher Excel Mgr</v>
      </c>
    </row>
    <row r="22" spans="2:3" x14ac:dyDescent="0.25">
      <c r="B22" t="str">
        <v>awa</v>
      </c>
      <c r="C22" t="str">
        <v>Awake</v>
      </c>
    </row>
    <row r="23" spans="2:3" x14ac:dyDescent="0.25">
      <c r="B23" t="str">
        <v xml:space="preserve">c </v>
      </c>
      <c r="C23" t="str">
        <v>Calculator</v>
      </c>
    </row>
    <row r="24" spans="2:3" x14ac:dyDescent="0.25">
      <c r="B24" t="str">
        <v>c?</v>
      </c>
      <c r="C24" t="str">
        <v>Calculator Help</v>
      </c>
    </row>
    <row r="25" spans="2:3" x14ac:dyDescent="0.25">
      <c r="B25" t="str">
        <v>cal</v>
      </c>
      <c r="C25" t="str">
        <v>Work Calendar</v>
      </c>
    </row>
    <row r="26" spans="2:3" x14ac:dyDescent="0.25">
      <c r="B26" t="str">
        <v>caps</v>
      </c>
      <c r="C26" t="str">
        <v>CapsLock Toggle</v>
      </c>
    </row>
    <row r="27" spans="2:3" x14ac:dyDescent="0.25">
      <c r="B27" t="str">
        <v>cdr</v>
      </c>
      <c r="C27" t="str">
        <v>C Drive</v>
      </c>
    </row>
    <row r="28" spans="2:3" x14ac:dyDescent="0.25">
      <c r="B28" t="str">
        <v>col</v>
      </c>
      <c r="C28" t="str">
        <v>Color Picker</v>
      </c>
    </row>
    <row r="29" spans="2:3" x14ac:dyDescent="0.25">
      <c r="B29" t="str">
        <v>com</v>
      </c>
      <c r="C29" t="str">
        <v>Compose</v>
      </c>
    </row>
    <row r="30" spans="2:3" x14ac:dyDescent="0.25">
      <c r="B30" t="str">
        <v>cont</v>
      </c>
      <c r="C30" t="str">
        <v>Control Panel</v>
      </c>
    </row>
    <row r="31" spans="2:3" x14ac:dyDescent="0.25">
      <c r="B31" t="str">
        <v>desk</v>
      </c>
      <c r="C31" t="str">
        <v>Desktop</v>
      </c>
    </row>
    <row r="32" spans="2:3" x14ac:dyDescent="0.25">
      <c r="B32" t="str">
        <v>doc</v>
      </c>
      <c r="C32" t="str">
        <v>Documents</v>
      </c>
    </row>
    <row r="33" spans="2:3" x14ac:dyDescent="0.25">
      <c r="B33" t="str">
        <v>down</v>
      </c>
      <c r="C33" t="str">
        <v>Downloads</v>
      </c>
    </row>
    <row r="34" spans="2:3" x14ac:dyDescent="0.25">
      <c r="B34" t="str">
        <v>dri</v>
      </c>
      <c r="C34" t="str">
        <v>Drive</v>
      </c>
    </row>
    <row r="35" spans="2:3" x14ac:dyDescent="0.25">
      <c r="B35" t="str">
        <v>E</v>
      </c>
      <c r="C35" t="str">
        <v>Environment Variables</v>
      </c>
    </row>
    <row r="36" spans="2:3" x14ac:dyDescent="0.25">
      <c r="B36" t="str">
        <v xml:space="preserve">e </v>
      </c>
      <c r="C36" t="str">
        <v>Everything</v>
      </c>
    </row>
    <row r="37" spans="2:3" x14ac:dyDescent="0.25">
      <c r="B37" t="str">
        <v>emo</v>
      </c>
      <c r="C37" t="str">
        <v>Emojis</v>
      </c>
    </row>
    <row r="38" spans="2:3" x14ac:dyDescent="0.25">
      <c r="B38" t="str">
        <v>ep axi</v>
      </c>
      <c r="C38" t="str">
        <v>Edge pr. AxiansPS</v>
      </c>
    </row>
    <row r="39" spans="2:3" x14ac:dyDescent="0.25">
      <c r="B39" t="str">
        <v>ep bpd</v>
      </c>
      <c r="C39" t="str">
        <v>Edge pr. BPD</v>
      </c>
    </row>
    <row r="40" spans="2:3" x14ac:dyDescent="0.25">
      <c r="B40" t="str">
        <v>ep bua</v>
      </c>
      <c r="C40" t="str">
        <v>Edge pr. Buas</v>
      </c>
    </row>
    <row r="41" spans="2:3" x14ac:dyDescent="0.25">
      <c r="B41" t="str">
        <v>ep bur</v>
      </c>
      <c r="C41" t="str">
        <v>Edge pr. Burg</v>
      </c>
    </row>
    <row r="42" spans="2:3" x14ac:dyDescent="0.25">
      <c r="B42" t="str">
        <v>ep dak</v>
      </c>
      <c r="C42" t="str">
        <v>Edge pr. DAK</v>
      </c>
    </row>
    <row r="43" spans="2:3" x14ac:dyDescent="0.25">
      <c r="B43" t="str">
        <v>ep eik</v>
      </c>
      <c r="C43" t="str">
        <v>Edge pr. Eikelkamp</v>
      </c>
    </row>
    <row r="44" spans="2:3" x14ac:dyDescent="0.25">
      <c r="B44" t="str">
        <v>ep eme</v>
      </c>
      <c r="C44" t="str">
        <v>Edge pr. Emergis</v>
      </c>
    </row>
    <row r="45" spans="2:3" x14ac:dyDescent="0.25">
      <c r="B45" t="str">
        <v>ep fle</v>
      </c>
      <c r="C45" t="str">
        <v>Edge pr. Fleet (Support vened)</v>
      </c>
    </row>
    <row r="46" spans="2:3" x14ac:dyDescent="0.25">
      <c r="B46" t="str">
        <v>ep fou</v>
      </c>
      <c r="C46" t="str">
        <v>Edge pr. Foundation</v>
      </c>
    </row>
    <row r="47" spans="2:3" x14ac:dyDescent="0.25">
      <c r="B47" t="str">
        <v>ep ind</v>
      </c>
      <c r="C47" t="str">
        <v>Edge pr. Indigo</v>
      </c>
    </row>
    <row r="48" spans="2:3" x14ac:dyDescent="0.25">
      <c r="B48" t="str">
        <v>ep ith</v>
      </c>
      <c r="C48" t="str">
        <v>Edge pr. Itho</v>
      </c>
    </row>
    <row r="49" spans="2:3" x14ac:dyDescent="0.25">
      <c r="B49" t="str">
        <v>ep kiw</v>
      </c>
      <c r="C49" t="str">
        <v>Edge pr. Kiwa</v>
      </c>
    </row>
    <row r="50" spans="2:3" x14ac:dyDescent="0.25">
      <c r="B50" t="str">
        <v>ep med</v>
      </c>
      <c r="C50" t="str">
        <v>Edge pr. Mediq</v>
      </c>
    </row>
    <row r="51" spans="2:3" x14ac:dyDescent="0.25">
      <c r="B51" t="str">
        <v>ep nlo</v>
      </c>
      <c r="C51" t="str">
        <v>Edge pr. NLO</v>
      </c>
    </row>
    <row r="52" spans="2:3" x14ac:dyDescent="0.25">
      <c r="B52" t="str">
        <v>ep odf</v>
      </c>
      <c r="C52" t="str">
        <v>Edge pr. ODF</v>
      </c>
    </row>
    <row r="53" spans="2:3" x14ac:dyDescent="0.25">
      <c r="B53" t="str">
        <v>ep per</v>
      </c>
      <c r="C53" t="str">
        <v>Edge pr. Personal</v>
      </c>
    </row>
    <row r="54" spans="2:3" x14ac:dyDescent="0.25">
      <c r="B54" t="str">
        <v>ep sup</v>
      </c>
      <c r="C54" t="str">
        <v>Edge pr. Support vinci</v>
      </c>
    </row>
    <row r="55" spans="2:3" x14ac:dyDescent="0.25">
      <c r="B55" t="str">
        <v>ep syn</v>
      </c>
      <c r="C55" t="str">
        <v>Edge pr. Synerlogic azure</v>
      </c>
    </row>
    <row r="56" spans="2:3" x14ac:dyDescent="0.25">
      <c r="B56" t="str">
        <v>ep ven</v>
      </c>
      <c r="C56" t="str">
        <v>Edge pr. VENED Personal</v>
      </c>
    </row>
    <row r="57" spans="2:3" x14ac:dyDescent="0.25">
      <c r="B57" t="str">
        <v>ep vio</v>
      </c>
      <c r="C57" t="str">
        <v>Edge pr. Vion</v>
      </c>
    </row>
    <row r="58" spans="2:3" x14ac:dyDescent="0.25">
      <c r="B58" t="str">
        <v>ep wor</v>
      </c>
      <c r="C58" t="str">
        <v>Edge pr. Work</v>
      </c>
    </row>
    <row r="59" spans="2:3" x14ac:dyDescent="0.25">
      <c r="B59" t="str">
        <v>ep zab</v>
      </c>
      <c r="C59" t="str">
        <v>Edge pr. Zabbix admin</v>
      </c>
    </row>
    <row r="60" spans="2:3" x14ac:dyDescent="0.25">
      <c r="B60" t="str">
        <v>ext</v>
      </c>
      <c r="C60" t="str">
        <v>Extract text</v>
      </c>
    </row>
    <row r="61" spans="2:3" x14ac:dyDescent="0.25">
      <c r="B61" t="str">
        <v xml:space="preserve">g </v>
      </c>
      <c r="C61" t="str">
        <v>Google</v>
      </c>
    </row>
    <row r="62" spans="2:3" x14ac:dyDescent="0.25">
      <c r="B62" t="str">
        <v>gcal</v>
      </c>
      <c r="C62" t="str">
        <v>Calendar</v>
      </c>
    </row>
    <row r="63" spans="2:3" x14ac:dyDescent="0.25">
      <c r="B63" t="str">
        <v>git</v>
      </c>
      <c r="C63" t="str">
        <v>Github</v>
      </c>
    </row>
    <row r="64" spans="2:3" x14ac:dyDescent="0.25">
      <c r="B64" t="str">
        <v>gma</v>
      </c>
      <c r="C64" t="str">
        <v>Gmail</v>
      </c>
    </row>
    <row r="65" spans="2:3" x14ac:dyDescent="0.25">
      <c r="B65" t="str">
        <v>inb</v>
      </c>
      <c r="C65" t="str">
        <v>Work inbox</v>
      </c>
    </row>
    <row r="66" spans="2:3" x14ac:dyDescent="0.25">
      <c r="B66" t="str">
        <v>k?</v>
      </c>
      <c r="C66" t="str">
        <v>Keyboard Shortcut Help</v>
      </c>
    </row>
    <row r="67" spans="2:3" x14ac:dyDescent="0.25">
      <c r="B67" t="str">
        <v>kee</v>
      </c>
      <c r="C67" t="str">
        <v>Google Keep Notes</v>
      </c>
    </row>
    <row r="68" spans="2:3" x14ac:dyDescent="0.25">
      <c r="B68" t="str">
        <v xml:space="preserve">m </v>
      </c>
      <c r="C68" t="str">
        <v>Multi Search</v>
      </c>
    </row>
    <row r="69" spans="2:3" x14ac:dyDescent="0.25">
      <c r="B69" t="str">
        <v>mag</v>
      </c>
      <c r="C69" t="str">
        <v>Magnifier</v>
      </c>
    </row>
    <row r="70" spans="2:3" x14ac:dyDescent="0.25">
      <c r="B70" t="str">
        <v>map</v>
      </c>
      <c r="C70" t="str">
        <v>Maps</v>
      </c>
    </row>
    <row r="71" spans="2:3" x14ac:dyDescent="0.25">
      <c r="B71" t="str">
        <v>mem</v>
      </c>
      <c r="C71" t="str">
        <v>LNCHR Memory</v>
      </c>
    </row>
    <row r="72" spans="2:3" x14ac:dyDescent="0.25">
      <c r="B72" t="str">
        <v>mou</v>
      </c>
      <c r="C72" t="str">
        <v>Mouse Highlighter</v>
      </c>
    </row>
    <row r="73" spans="2:3" x14ac:dyDescent="0.25">
      <c r="B73" t="str">
        <v>mut</v>
      </c>
      <c r="C73" t="str">
        <v>Mute mic and cam</v>
      </c>
    </row>
    <row r="74" spans="2:3" x14ac:dyDescent="0.25">
      <c r="B74" t="str">
        <v>not</v>
      </c>
      <c r="C74" t="str">
        <v>Notepad</v>
      </c>
    </row>
    <row r="75" spans="2:3" x14ac:dyDescent="0.25">
      <c r="B75" t="str">
        <v xml:space="preserve">o </v>
      </c>
      <c r="C75" t="str">
        <v>Outlook</v>
      </c>
    </row>
    <row r="76" spans="2:3" x14ac:dyDescent="0.25">
      <c r="B76" t="str">
        <v>obs</v>
      </c>
      <c r="C76" t="str">
        <v>obsidian search</v>
      </c>
    </row>
    <row r="77" spans="2:3" x14ac:dyDescent="0.25">
      <c r="B77" t="str">
        <v xml:space="preserve">p </v>
      </c>
      <c r="C77" t="str">
        <v>Perplexity</v>
      </c>
    </row>
    <row r="78" spans="2:3" x14ac:dyDescent="0.25">
      <c r="B78" t="str">
        <v>pai</v>
      </c>
      <c r="C78" t="str">
        <v>Paint</v>
      </c>
    </row>
    <row r="79" spans="2:3" x14ac:dyDescent="0.25">
      <c r="B79" t="str">
        <v>pc</v>
      </c>
      <c r="C79" t="str">
        <v>This PC</v>
      </c>
    </row>
    <row r="80" spans="2:3" x14ac:dyDescent="0.25">
      <c r="B80" t="str">
        <v xml:space="preserve">r </v>
      </c>
      <c r="C80" t="str">
        <v>reddit search</v>
      </c>
    </row>
    <row r="81" spans="2:3" x14ac:dyDescent="0.25">
      <c r="B81" t="str">
        <v>rec</v>
      </c>
      <c r="C81" t="str">
        <v>Recycling Bin</v>
      </c>
    </row>
    <row r="82" spans="2:3" x14ac:dyDescent="0.25">
      <c r="B82" t="str">
        <v>red</v>
      </c>
      <c r="C82" t="str">
        <v>Reddit</v>
      </c>
    </row>
    <row r="83" spans="2:3" x14ac:dyDescent="0.25">
      <c r="B83" t="str">
        <v>reg</v>
      </c>
      <c r="C83" t="str">
        <v>Regex</v>
      </c>
    </row>
    <row r="84" spans="2:3" x14ac:dyDescent="0.25">
      <c r="B84" t="str">
        <v>resx</v>
      </c>
      <c r="C84" t="str">
        <v>Resetart explorer</v>
      </c>
    </row>
    <row r="85" spans="2:3" x14ac:dyDescent="0.25">
      <c r="B85" t="str">
        <v xml:space="preserve">rk </v>
      </c>
      <c r="C85" t="str">
        <v>Run (keep open)</v>
      </c>
    </row>
    <row r="86" spans="2:3" x14ac:dyDescent="0.25">
      <c r="B86" t="str">
        <v>rul</v>
      </c>
      <c r="C86" t="str">
        <v>Ruler</v>
      </c>
    </row>
    <row r="87" spans="2:3" x14ac:dyDescent="0.25">
      <c r="B87" t="str">
        <v>sca</v>
      </c>
      <c r="C87" t="str">
        <v>Work inbox</v>
      </c>
    </row>
    <row r="88" spans="2:3" x14ac:dyDescent="0.25">
      <c r="B88" t="str">
        <v>sin</v>
      </c>
      <c r="C88" t="str">
        <v>Work inbox</v>
      </c>
    </row>
    <row r="89" spans="2:3" x14ac:dyDescent="0.25">
      <c r="B89" t="str">
        <v>sni</v>
      </c>
      <c r="C89" t="str">
        <v>Snip n Sketch</v>
      </c>
    </row>
    <row r="90" spans="2:3" x14ac:dyDescent="0.25">
      <c r="B90" t="str">
        <v>snow</v>
      </c>
      <c r="C90" t="str">
        <v>service now (KIWA)</v>
      </c>
    </row>
    <row r="91" spans="2:3" x14ac:dyDescent="0.25">
      <c r="B91" t="str">
        <v>sou</v>
      </c>
      <c r="C91" t="str">
        <v>Sound</v>
      </c>
    </row>
    <row r="92" spans="2:3" x14ac:dyDescent="0.25">
      <c r="B92" t="str">
        <v xml:space="preserve">sp </v>
      </c>
      <c r="C92" t="str">
        <v>Spotify</v>
      </c>
    </row>
    <row r="93" spans="2:3" x14ac:dyDescent="0.25">
      <c r="B93" t="str">
        <v>sub</v>
      </c>
      <c r="C93" t="str">
        <v>Sublime tekst</v>
      </c>
    </row>
    <row r="94" spans="2:3" x14ac:dyDescent="0.25">
      <c r="B94" t="str">
        <v>task</v>
      </c>
      <c r="C94" t="str">
        <v>new obsidian task</v>
      </c>
    </row>
    <row r="95" spans="2:3" x14ac:dyDescent="0.25">
      <c r="B95" t="str">
        <v>tdi</v>
      </c>
      <c r="C95" t="str">
        <v>topdesk incident</v>
      </c>
    </row>
    <row r="96" spans="2:3" x14ac:dyDescent="0.25">
      <c r="B96" t="str">
        <v>tdp</v>
      </c>
      <c r="C96" t="str">
        <v>topdesk portal</v>
      </c>
    </row>
    <row r="97" spans="2:3" x14ac:dyDescent="0.25">
      <c r="B97" t="str">
        <v>tea</v>
      </c>
      <c r="C97" t="str">
        <v>MS Teams</v>
      </c>
    </row>
    <row r="98" spans="2:3" x14ac:dyDescent="0.25">
      <c r="B98" t="str">
        <v>test</v>
      </c>
      <c r="C98" t="str">
        <v>test command</v>
      </c>
    </row>
    <row r="99" spans="2:3" x14ac:dyDescent="0.25">
      <c r="B99" t="str">
        <v>ti</v>
      </c>
      <c r="C99" t="str">
        <v>Set label "ter info"</v>
      </c>
    </row>
    <row r="100" spans="2:3" x14ac:dyDescent="0.25">
      <c r="B100" t="str">
        <v>tm</v>
      </c>
      <c r="C100" t="str">
        <v>Task Manager</v>
      </c>
    </row>
    <row r="101" spans="2:3" x14ac:dyDescent="0.25">
      <c r="B101" t="str">
        <v>todo</v>
      </c>
      <c r="C101" t="str">
        <v>Obsidian todo board</v>
      </c>
    </row>
    <row r="102" spans="2:3" x14ac:dyDescent="0.25">
      <c r="B102" t="str">
        <v>top</v>
      </c>
      <c r="C102" t="str">
        <v>Set Window on top</v>
      </c>
    </row>
    <row r="103" spans="2:3" x14ac:dyDescent="0.25">
      <c r="B103" t="str">
        <v>vsc</v>
      </c>
      <c r="C103" t="str">
        <v>vs code</v>
      </c>
    </row>
    <row r="104" spans="2:3" x14ac:dyDescent="0.25">
      <c r="B104" t="str">
        <v>vsdir</v>
      </c>
      <c r="C104" t="str">
        <v>vs code in current dir</v>
      </c>
    </row>
    <row r="105" spans="2:3" x14ac:dyDescent="0.25">
      <c r="B105" t="str">
        <v>wea</v>
      </c>
      <c r="C105" t="str">
        <v>Weather</v>
      </c>
    </row>
    <row r="106" spans="2:3" x14ac:dyDescent="0.25">
      <c r="B106" t="str">
        <v>wha</v>
      </c>
      <c r="C106" t="str">
        <v>WhatsApp</v>
      </c>
    </row>
    <row r="107" spans="2:3" x14ac:dyDescent="0.25">
      <c r="B107" t="str">
        <v>whi</v>
      </c>
      <c r="C107" t="str">
        <v>whiteboard</v>
      </c>
    </row>
    <row r="108" spans="2:3" x14ac:dyDescent="0.25">
      <c r="B108" t="str">
        <v>wor</v>
      </c>
      <c r="C108" t="str">
        <v>Working files</v>
      </c>
    </row>
    <row r="109" spans="2:3" x14ac:dyDescent="0.25">
      <c r="B109" t="str">
        <v xml:space="preserve">y </v>
      </c>
      <c r="C109" t="str">
        <v>YouTube</v>
      </c>
    </row>
    <row r="110" spans="2:3" x14ac:dyDescent="0.25">
      <c r="B110" t="str">
        <v>zab</v>
      </c>
      <c r="C110" t="str">
        <v>zabbix</v>
      </c>
    </row>
    <row r="111" spans="2:3" x14ac:dyDescent="0.25">
      <c r="B111" t="str">
        <v>zon</v>
      </c>
      <c r="C111" t="str">
        <v>FancyZones</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A5F9-DFC5-41D1-A6EA-E47D94BC870C}">
  <sheetPr codeName="Sheet2"/>
  <dimension ref="A2:E467"/>
  <sheetViews>
    <sheetView zoomScale="85" zoomScaleNormal="85" workbookViewId="0">
      <selection activeCell="B15" sqref="B15:E15"/>
    </sheetView>
  </sheetViews>
  <sheetFormatPr defaultColWidth="13.5" defaultRowHeight="15" x14ac:dyDescent="0.25"/>
  <cols>
    <col min="1" max="1" width="9.75" style="30" customWidth="1"/>
    <col min="2" max="2" width="13.5" style="30"/>
    <col min="3" max="3" width="8" style="30" customWidth="1"/>
    <col min="4" max="4" width="8.75" style="30" customWidth="1"/>
    <col min="5" max="5" width="89.875" style="30" customWidth="1"/>
    <col min="6" max="6" width="68.25" style="30" customWidth="1"/>
    <col min="7" max="16384" width="13.5" style="30"/>
  </cols>
  <sheetData>
    <row r="2" spans="1:5" ht="75" x14ac:dyDescent="0.25">
      <c r="B2" s="29" t="s">
        <v>197</v>
      </c>
      <c r="E2" s="31" t="s">
        <v>207</v>
      </c>
    </row>
    <row r="3" spans="1:5" ht="18" customHeight="1" x14ac:dyDescent="0.25">
      <c r="A3" s="32"/>
    </row>
    <row r="4" spans="1:5" x14ac:dyDescent="0.25">
      <c r="A4" s="32"/>
      <c r="B4" s="29" t="s">
        <v>0</v>
      </c>
      <c r="E4" s="30" t="s">
        <v>199</v>
      </c>
    </row>
    <row r="5" spans="1:5" x14ac:dyDescent="0.25">
      <c r="A5" s="32"/>
    </row>
    <row r="6" spans="1:5" ht="105" customHeight="1" x14ac:dyDescent="0.25">
      <c r="A6" s="32"/>
      <c r="B6" s="29" t="s">
        <v>190</v>
      </c>
      <c r="E6" s="31" t="s">
        <v>198</v>
      </c>
    </row>
    <row r="7" spans="1:5" ht="18" customHeight="1" x14ac:dyDescent="0.25">
      <c r="A7" s="32"/>
    </row>
    <row r="8" spans="1:5" ht="18" customHeight="1" x14ac:dyDescent="0.25">
      <c r="A8" s="32"/>
      <c r="B8" s="29" t="s">
        <v>1</v>
      </c>
      <c r="E8" s="30" t="s">
        <v>200</v>
      </c>
    </row>
    <row r="9" spans="1:5" ht="18" customHeight="1" x14ac:dyDescent="0.25">
      <c r="A9" s="32"/>
    </row>
    <row r="10" spans="1:5" ht="18" customHeight="1" x14ac:dyDescent="0.25">
      <c r="A10" s="32"/>
      <c r="B10" s="29" t="s">
        <v>46</v>
      </c>
      <c r="E10" s="30" t="s">
        <v>201</v>
      </c>
    </row>
    <row r="11" spans="1:5" ht="18" customHeight="1" x14ac:dyDescent="0.25">
      <c r="A11" s="32"/>
    </row>
    <row r="12" spans="1:5" ht="18" customHeight="1" x14ac:dyDescent="0.25">
      <c r="B12" s="29" t="s">
        <v>172</v>
      </c>
      <c r="E12" s="30" t="s">
        <v>194</v>
      </c>
    </row>
    <row r="13" spans="1:5" ht="8.25" customHeight="1" x14ac:dyDescent="0.25"/>
    <row r="14" spans="1:5" ht="18" customHeight="1" x14ac:dyDescent="0.25">
      <c r="B14" s="33" t="s">
        <v>120</v>
      </c>
      <c r="E14" s="31" t="s">
        <v>203</v>
      </c>
    </row>
    <row r="15" spans="1:5" ht="18" customHeight="1" x14ac:dyDescent="0.25">
      <c r="B15" s="30" t="s">
        <v>62</v>
      </c>
      <c r="C15" s="30" t="s">
        <v>202</v>
      </c>
      <c r="E15" s="30" t="s">
        <v>157</v>
      </c>
    </row>
    <row r="16" spans="1:5" ht="45" x14ac:dyDescent="0.25">
      <c r="B16" s="30" t="s">
        <v>53</v>
      </c>
      <c r="C16" s="30" t="s">
        <v>56</v>
      </c>
      <c r="E16" s="31" t="s">
        <v>204</v>
      </c>
    </row>
    <row r="17" spans="2:5" ht="18" customHeight="1" x14ac:dyDescent="0.25">
      <c r="B17" s="30" t="s">
        <v>136</v>
      </c>
      <c r="C17" s="30" t="s">
        <v>174</v>
      </c>
      <c r="E17" s="30" t="s">
        <v>195</v>
      </c>
    </row>
    <row r="18" spans="2:5" ht="18" customHeight="1" x14ac:dyDescent="0.25">
      <c r="B18" s="30" t="s">
        <v>173</v>
      </c>
      <c r="C18" s="30" t="s">
        <v>175</v>
      </c>
      <c r="E18" s="30" t="s">
        <v>196</v>
      </c>
    </row>
    <row r="19" spans="2:5" ht="45" x14ac:dyDescent="0.25">
      <c r="B19" s="30" t="s">
        <v>5</v>
      </c>
      <c r="C19" s="30" t="s">
        <v>2</v>
      </c>
      <c r="E19" s="31" t="s">
        <v>205</v>
      </c>
    </row>
    <row r="20" spans="2:5" ht="18" customHeight="1" x14ac:dyDescent="0.25"/>
    <row r="21" spans="2:5" ht="18" customHeight="1" x14ac:dyDescent="0.25"/>
    <row r="22" spans="2:5" ht="18" customHeight="1" x14ac:dyDescent="0.25"/>
    <row r="23" spans="2:5" ht="18" customHeight="1" x14ac:dyDescent="0.25"/>
    <row r="24" spans="2:5" ht="18" customHeight="1" x14ac:dyDescent="0.25"/>
    <row r="25" spans="2:5" ht="18" customHeight="1" x14ac:dyDescent="0.25"/>
    <row r="26" spans="2:5" ht="18" customHeight="1" x14ac:dyDescent="0.25"/>
    <row r="27" spans="2:5" ht="18" customHeight="1" x14ac:dyDescent="0.25"/>
    <row r="28" spans="2:5" ht="18" customHeight="1" x14ac:dyDescent="0.25"/>
    <row r="29" spans="2:5" ht="18" customHeight="1" x14ac:dyDescent="0.25"/>
    <row r="30" spans="2:5" ht="18" customHeight="1" x14ac:dyDescent="0.25"/>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Shortcuts</vt:lpstr>
      <vt:lpstr>Edge profiles</vt:lpstr>
      <vt:lpstr>sorted keys</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 Ewasiuk</dc:creator>
  <cp:lastModifiedBy>Mendel Niehof</cp:lastModifiedBy>
  <cp:lastPrinted>2024-05-25T15:22:41Z</cp:lastPrinted>
  <dcterms:created xsi:type="dcterms:W3CDTF">2015-06-05T18:17:20Z</dcterms:created>
  <dcterms:modified xsi:type="dcterms:W3CDTF">2024-05-25T16:19:53Z</dcterms:modified>
</cp:coreProperties>
</file>