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C:\Users\mendel.niehof\OneDrive - VINCI Energies\Documenten\AutoHotkey\Personal_rep\AHK scripts\LNCHR-pub-master\"/>
    </mc:Choice>
  </mc:AlternateContent>
  <xr:revisionPtr revIDLastSave="0" documentId="13_ncr:1_{D131692D-A62B-45E7-B0FE-EA35515BCB1B}" xr6:coauthVersionLast="47" xr6:coauthVersionMax="47" xr10:uidLastSave="{00000000-0000-0000-0000-000000000000}"/>
  <bookViews>
    <workbookView xWindow="-14040" yWindow="-16380" windowWidth="29040" windowHeight="15840" xr2:uid="{00000000-000D-0000-FFFF-FFFF00000000}"/>
  </bookViews>
  <sheets>
    <sheet name="Shortcuts" sheetId="1" r:id="rId1"/>
    <sheet name="Edge profiles" sheetId="3" r:id="rId2"/>
    <sheet name="Help" sheetId="2" r:id="rId3"/>
  </sheets>
  <functionGroups builtInGroupCount="19"/>
  <definedNames>
    <definedName name="_xlnm._FilterDatabase" localSheetId="0" hidden="1">Shortcuts!$A$3:$H$73</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1" l="1"/>
  <c r="B26" i="1"/>
  <c r="B12" i="1"/>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1" i="1"/>
  <c r="B9" i="1"/>
  <c r="B10" i="1"/>
  <c r="B8" i="1"/>
  <c r="B22" i="1"/>
  <c r="E4" i="3" l="1" a="1"/>
  <c r="B5" i="1"/>
  <c r="B6" i="1"/>
  <c r="B7" i="1"/>
  <c r="B13" i="1"/>
  <c r="B14" i="1"/>
  <c r="B15" i="1"/>
  <c r="B16" i="1"/>
  <c r="B17" i="1"/>
  <c r="B18" i="1"/>
  <c r="B19" i="1"/>
  <c r="B20" i="1"/>
  <c r="B21" i="1"/>
  <c r="B23" i="1"/>
  <c r="B24" i="1"/>
  <c r="B25"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4" i="1"/>
  <c r="F24"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<sst xmlns="http://schemas.openxmlformats.org/spreadsheetml/2006/main" count="989" uniqueCount="369">
  <si>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</si>
  <si>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</si>
  <si>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</si>
  <si>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</si>
  <si>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</si>
  <si>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</si>
  <si>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</si>
  <si>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</si>
  <si>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</si>
  <si>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</si>
  <si>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</si>
  <si>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</si>
  <si>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</si>
  <si>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</si>
  <si>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</si>
  <si>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</si>
  <si>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</si>
  <si>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</si>
  <si>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</si>
  <si>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</si>
  <si>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</si>
  <si>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</si>
  <si>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</si>
  <si>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</si>
  <si>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</si>
  <si>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</si>
  <si>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</si>
  <si>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</si>
  <si>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</si>
  <si>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</si>
  <si>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</si>
  <si>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</si>
  <si>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</si>
  <si>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</si>
  <si>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</si>
  <si>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</si>
  <si>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</si>
  <si>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</si>
  <si>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</si>
  <si>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</si>
  <si>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</si>
  <si>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</si>
  <si>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</si>
  <si>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</si>
  <si>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</si>
  <si>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</si>
  <si>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</si>
  <si>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</si>
  <si>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</si>
  <si>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</si>
  <si>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</si>
  <si>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</si>
  <si>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</si>
  <si>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</si>
  <si>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</si>
  <si>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</si>
  <si>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</si>
  <si>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</si>
  <si>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</si>
  <si>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</si>
  <si>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</si>
  <si>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</si>
  <si>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</si>
  <si>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</si>
  <si>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</si>
  <si>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</si>
  <si>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</si>
  <si>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</si>
  <si>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</si>
  <si>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</si>
  <si>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</si>
  <si>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</si>
  <si>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</si>
  <si>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</si>
  <si>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</si>
  <si>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</si>
  <si>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</si>
  <si>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</si>
  <si>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</si>
  <si>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</si>
  <si>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</si>
  <si>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</si>
  <si>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</si>
  <si>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</si>
  <si>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</si>
  <si>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</si>
  <si>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</si>
  <si>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</si>
  <si>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</si>
  <si>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</si>
  <si>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</si>
  <si>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</si>
  <si>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</si>
  <si>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REPLACEME</t>
  </si>
  <si>
    <t>c?</t>
  </si>
  <si>
    <t>Calculator Help</t>
  </si>
  <si>
    <t>k?</t>
  </si>
  <si>
    <t>Keyboard Shortcut Help</t>
  </si>
  <si>
    <t>https://open.spotify.com/search/REPLACEME</t>
  </si>
  <si>
    <t>Spotify</t>
  </si>
  <si>
    <t xml:space="preserve">s </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</si>
  <si>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</si>
  <si>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</si>
  <si>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</si>
  <si>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</si>
  <si>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</si>
  <si>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</si>
  <si>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</si>
  <si>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</si>
  <si>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</si>
  <si>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</si>
  <si>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</si>
  <si>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</si>
  <si>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</si>
  <si>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</si>
  <si>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</si>
  <si>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</si>
  <si>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</si>
  <si>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</si>
  <si>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</si>
  <si>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</si>
  <si>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</si>
  <si>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</si>
  <si>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</si>
  <si>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</si>
  <si>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</si>
  <si>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</si>
  <si>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</si>
  <si>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</si>
  <si>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</si>
  <si>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</si>
  <si>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xmag</t>
  </si>
  <si>
    <t>Exit Magnifier</t>
  </si>
  <si>
    <t>rul</t>
  </si>
  <si>
    <t>Ruler</t>
  </si>
  <si>
    <t>ext</t>
  </si>
  <si>
    <t>Extract text</t>
  </si>
  <si>
    <t>resx</t>
  </si>
  <si>
    <t>Resetart explorer</t>
  </si>
  <si>
    <t>todo</t>
  </si>
  <si>
    <t>View Tasks (Outlook)</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</si>
  <si>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</si>
  <si>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</si>
  <si>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</si>
  <si>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</si>
  <si>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</si>
  <si>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</si>
  <si>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</si>
  <si>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</si>
  <si>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</si>
  <si>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</si>
  <si>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</si>
  <si>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</si>
  <si>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</si>
  <si>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</si>
  <si>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</si>
  <si>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</si>
  <si>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</si>
  <si>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</si>
  <si>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</si>
  <si>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</si>
  <si>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</si>
  <si>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</si>
  <si>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</si>
  <si>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</si>
  <si>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tryrun('"C:\Program Files\Microsoft Office\root\Office16\OUTLOOK.EXE" /recycle /select outlook:tasks')</t>
  </si>
  <si>
    <t>Run</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</si>
  <si>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</si>
  <si>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</si>
  <si>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</si>
  <si>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</si>
  <si>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</si>
  <si>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</si>
  <si>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</si>
  <si>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</si>
  <si>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</si>
  <si>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</si>
  <si>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</si>
  <si>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</si>
  <si>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</si>
  <si>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</si>
  <si>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</si>
  <si>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</si>
  <si>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</si>
  <si>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</si>
  <si>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</si>
  <si>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</si>
  <si>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</si>
  <si>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</si>
  <si>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</si>
  <si>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</si>
  <si>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</si>
  <si>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C:\Users\' A_UserName '\AppData\Local\Microsoft\Teams\current\Teams.exe</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</si>
  <si>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</si>
  <si>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</si>
  <si>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</si>
  <si>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</si>
  <si>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</si>
  <si>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</si>
  <si>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</si>
  <si>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</si>
  <si>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</si>
  <si>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</si>
  <si>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</si>
  <si>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</si>
  <si>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</si>
  <si>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</si>
  <si>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</si>
  <si>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</si>
  <si>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</si>
  <si>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</si>
  <si>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</si>
  <si>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</si>
  <si>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</si>
  <si>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</si>
  <si>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</si>
  <si>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</si>
  <si>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</si>
  <si>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</si>
  <si>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</si>
  <si>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</si>
  <si>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</si>
  <si>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</si>
  <si>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</si>
  <si>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</si>
  <si>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</si>
  <si>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</si>
  <si>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</si>
  <si>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</si>
  <si>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</si>
  <si>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https://vincienergies.sharepoint.com/:x:/r/sites/AxiansPSManagedServicesTeam/Documents%20partages/General/Ochtendcontrole/Whiteboard%202.0.xlsx?d=w8f40518b1395443bbc43f59c0c153edc&amp;csf=1&amp;web=1&amp;e=2lxaND</t>
  </si>
  <si>
    <t>topdesk incident</t>
  </si>
  <si>
    <t>topdesk portal</t>
  </si>
  <si>
    <t>https://axians.topdesk.net/</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</si>
  <si>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</si>
  <si>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</si>
  <si>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</si>
  <si>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</si>
  <si>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https://axians.service-now.com</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</si>
  <si>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</si>
  <si>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</si>
  <si>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</si>
  <si>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</si>
  <si>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</si>
  <si>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</si>
  <si>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</si>
  <si>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</si>
  <si>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</si>
  <si>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</si>
  <si>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</si>
  <si>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</si>
  <si>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</si>
  <si>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</si>
  <si>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</si>
  <si>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</si>
  <si>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</si>
  <si>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</si>
  <si>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</si>
  <si>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</si>
  <si>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</si>
  <si>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</si>
  <si>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</si>
  <si>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</si>
  <si>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</si>
  <si>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</si>
  <si>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</si>
  <si>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</si>
  <si>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</si>
  <si>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</si>
  <si>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</si>
  <si>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</si>
  <si>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</si>
  <si>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</si>
  <si>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</si>
  <si>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</si>
  <si>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</si>
  <si>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</si>
  <si>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</si>
  <si>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</si>
  <si>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</si>
  <si>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</si>
  <si>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</si>
  <si>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</si>
  <si>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</si>
  <si>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</si>
  <si>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</si>
  <si>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</si>
  <si>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</si>
  <si>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</si>
  <si>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</si>
  <si>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</si>
  <si>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</si>
  <si>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</si>
  <si>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</si>
  <si>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</si>
  <si>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</si>
  <si>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</si>
  <si>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</si>
  <si>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</si>
  <si>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</si>
  <si>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</si>
  <si>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</si>
  <si>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</si>
  <si>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</si>
  <si>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</si>
  <si>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</si>
  <si>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</si>
  <si>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</si>
  <si>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</si>
  <si>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</si>
  <si>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</si>
  <si>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</si>
  <si>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</si>
  <si>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</si>
  <si>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</si>
  <si>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</si>
  <si>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</si>
  <si>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</si>
  <si>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</si>
  <si>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</si>
  <si>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</si>
  <si>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</si>
  <si>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</si>
  <si>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</si>
  <si>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</si>
  <si>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</si>
  <si>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</si>
  <si>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</si>
  <si>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</si>
  <si>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</si>
  <si>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</si>
  <si>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</si>
  <si>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</si>
  <si>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</si>
  <si>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</si>
  <si>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</si>
  <si>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</si>
  <si>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</si>
  <si>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</si>
  <si>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</si>
  <si>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</si>
  <si>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</si>
  <si>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</si>
  <si>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</si>
  <si>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</si>
  <si>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</si>
  <si>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</si>
  <si>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</si>
  <si>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</si>
  <si>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</si>
  <si>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</si>
  <si>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</si>
  <si>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</si>
  <si>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</si>
  <si>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</si>
  <si>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C:\Users\mendel.niehof\OneDrive - VINCI Energies\Documenten\AutoHotkey\Personal_rep\AHK scripts\LNCHR-pub-master\LNCHR-Commands.ahk</t>
  </si>
  <si>
    <t xml:space="preserve">textfile: </t>
  </si>
  <si>
    <t>C:\Users\mendel.niehof\OneDrive - VINCI Energies\Documenten\AutoHotkey\Personal_rep\AHK scripts\LNCHR-pub-master\HELP-Commands.txt</t>
  </si>
  <si>
    <t>zab</t>
  </si>
  <si>
    <t>zabbix</t>
  </si>
  <si>
    <t>https://monitoring.bs.axians.nl/zabbix/zabbix.php?action=dashboard.view</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</si>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</sst>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Border="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4" fillId="2" borderId="0" xfId="0" applyFont="1" applyFill="1" applyBorder="1" applyAlignment="1">
      <alignment horizontal="left" vertical="top"/>
    </xf>
    <xf numFmtId="0" fontId="1" fillId="2" borderId="2" xfId="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3" Type="http://schemas.openxmlformats.org/officeDocument/2006/relationships/hyperlink" Target="https://duckduckgo.com/?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axians.topdesk.net/tas/secure/incident?action=lookup&amp;lookup=naam&amp;lookupValue=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open.spotify.com/search/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5" Type="http://schemas.openxmlformats.org/officeDocument/2006/relationships/hyperlink" Target="https://www.reddit.com/r/REPLACEME" TargetMode="External"/><Relationship Id="rId15" Type="http://schemas.openxmlformats.org/officeDocument/2006/relationships/hyperlink" Target="https://github.com/" TargetMode="External"/><Relationship Id="rId10" Type="http://schemas.openxmlformats.org/officeDocument/2006/relationships/hyperlink" Target="http://www.drive.google.com/" TargetMode="External"/><Relationship Id="rId19" Type="http://schemas.openxmlformats.org/officeDocument/2006/relationships/printerSettings" Target="../printerSettings/printerSettings1.bin"/><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regex101.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66"/>
  <sheetViews>
    <sheetView tabSelected="1" topLeftCell="A16" zoomScaleNormal="100" workbookViewId="0">
      <selection activeCell="C27" sqref="C27"/>
    </sheetView>
  </sheetViews>
  <sheetFormatPr defaultColWidth="13.5" defaultRowHeight="18" customHeight="1" x14ac:dyDescent="0.2"/>
  <cols>
    <col min="1" max="1" width="12.25" style="4" bestFit="1" customWidth="1"/>
    <col min="2" max="2" width="18.375" style="4" customWidth="1"/>
    <col min="3" max="3" width="9.5" style="4" customWidth="1"/>
    <col min="4" max="4" width="24.5" style="4" customWidth="1"/>
    <col min="5" max="5" width="8.875" style="6" bestFit="1" customWidth="1"/>
    <col min="6" max="6" width="101" style="4" customWidth="1"/>
    <col min="7" max="7" width="68.25" style="4" customWidth="1"/>
    <col min="8" max="9" width="13.5" style="4"/>
    <col min="10" max="16384" width="13.5" style="1"/>
  </cols>
  <sheetData>
    <row r="1" spans="1:9" ht="18" customHeight="1" x14ac:dyDescent="0.2">
      <c r="A1" s="7" t="s">
        <v>187</v>
      </c>
      <c r="B1" s="4" t="s">
        <v>355</v>
      </c>
      <c r="F1" s="29" t="s">
        <v>189</v>
      </c>
    </row>
    <row r="2" spans="1:9" ht="18" customHeight="1" x14ac:dyDescent="0.2">
      <c r="A2" s="4" t="s">
        <v>356</v>
      </c>
      <c r="B2" s="4" t="s">
        <v>357</v>
      </c>
      <c r="F2" s="7"/>
    </row>
    <row r="3" spans="1:9" ht="18" customHeight="1" x14ac:dyDescent="0.2">
      <c r="A3" s="8" t="s">
        <v>0</v>
      </c>
      <c r="B3" s="8" t="s">
        <v>202</v>
      </c>
      <c r="C3" s="8" t="s">
        <v>1</v>
      </c>
      <c r="D3" s="2" t="s">
        <v>50</v>
      </c>
      <c r="E3" s="9" t="s">
        <v>183</v>
      </c>
      <c r="F3" s="3" t="s">
        <v>16</v>
      </c>
      <c r="G3" s="3" t="s">
        <v>33</v>
      </c>
      <c r="H3" s="7"/>
      <c r="I3" s="5"/>
    </row>
    <row r="4" spans="1:9" ht="18" customHeight="1" x14ac:dyDescent="0.2">
      <c r="A4" s="10" t="s">
        <v>177</v>
      </c>
      <c r="B4" s="31" t="str">
        <f>IF(A4="_work","UsingAnyWorkcomputer","")</f>
        <v>UsingAnyWorkcomputer</v>
      </c>
      <c r="C4" s="10" t="s">
        <v>139</v>
      </c>
      <c r="D4" s="10" t="s">
        <v>140</v>
      </c>
      <c r="E4" s="11"/>
      <c r="F4" s="10" t="s">
        <v>165</v>
      </c>
      <c r="G4" s="10"/>
      <c r="H4" s="10"/>
      <c r="I4" s="10"/>
    </row>
    <row r="5" spans="1:9" ht="18" customHeight="1" x14ac:dyDescent="0.2">
      <c r="A5" s="10" t="s">
        <v>177</v>
      </c>
      <c r="B5" s="31" t="str">
        <f t="shared" ref="B5:B34" si="0">IF(A5="_work","UsingAnyWorkcomputer","")</f>
        <v>UsingAnyWorkcomputer</v>
      </c>
      <c r="C5" s="10" t="s">
        <v>22</v>
      </c>
      <c r="D5" s="10" t="s">
        <v>178</v>
      </c>
      <c r="E5" s="11"/>
      <c r="F5" s="10" t="s">
        <v>157</v>
      </c>
      <c r="G5" s="10"/>
      <c r="H5" s="10"/>
      <c r="I5" s="10"/>
    </row>
    <row r="6" spans="1:9" ht="18" customHeight="1" x14ac:dyDescent="0.2">
      <c r="A6" s="10" t="s">
        <v>177</v>
      </c>
      <c r="B6" s="31" t="str">
        <f t="shared" si="0"/>
        <v>UsingAnyWorkcomputer</v>
      </c>
      <c r="C6" s="10" t="s">
        <v>124</v>
      </c>
      <c r="D6" s="10" t="s">
        <v>122</v>
      </c>
      <c r="E6" s="11"/>
      <c r="F6" s="12" t="s">
        <v>123</v>
      </c>
      <c r="G6" s="10"/>
      <c r="H6" s="10"/>
      <c r="I6" s="10"/>
    </row>
    <row r="7" spans="1:9" ht="18" customHeight="1" x14ac:dyDescent="0.2">
      <c r="A7" s="10" t="s">
        <v>177</v>
      </c>
      <c r="B7" s="31" t="str">
        <f t="shared" si="0"/>
        <v>UsingAnyWorkcomputer</v>
      </c>
      <c r="C7" s="10" t="s">
        <v>125</v>
      </c>
      <c r="D7" s="10" t="s">
        <v>179</v>
      </c>
      <c r="E7" s="11"/>
      <c r="F7" s="10" t="s">
        <v>158</v>
      </c>
      <c r="G7" s="10"/>
      <c r="H7" s="10"/>
      <c r="I7" s="10"/>
    </row>
    <row r="8" spans="1:9" ht="18" customHeight="1" x14ac:dyDescent="0.25">
      <c r="A8" s="10" t="s">
        <v>177</v>
      </c>
      <c r="B8" s="31" t="str">
        <f t="shared" si="0"/>
        <v>UsingAnyWorkcomputer</v>
      </c>
      <c r="C8" s="10" t="s">
        <v>227</v>
      </c>
      <c r="D8" s="10" t="s">
        <v>231</v>
      </c>
      <c r="E8" s="11"/>
      <c r="F8" s="37" t="s">
        <v>234</v>
      </c>
      <c r="G8" s="10"/>
      <c r="H8" s="10"/>
      <c r="I8" s="10"/>
    </row>
    <row r="9" spans="1:9" ht="18" customHeight="1" x14ac:dyDescent="0.25">
      <c r="A9" s="10" t="s">
        <v>177</v>
      </c>
      <c r="B9" s="31" t="str">
        <f t="shared" si="0"/>
        <v>UsingAnyWorkcomputer</v>
      </c>
      <c r="C9" s="10" t="s">
        <v>235</v>
      </c>
      <c r="D9" s="10" t="s">
        <v>232</v>
      </c>
      <c r="E9" s="11" t="s">
        <v>57</v>
      </c>
      <c r="F9" s="37" t="s">
        <v>233</v>
      </c>
      <c r="G9" s="10"/>
      <c r="H9" s="10"/>
      <c r="I9" s="10"/>
    </row>
    <row r="10" spans="1:9" ht="18" customHeight="1" x14ac:dyDescent="0.25">
      <c r="A10" s="10" t="s">
        <v>177</v>
      </c>
      <c r="B10" s="31" t="str">
        <f t="shared" si="0"/>
        <v>UsingAnyWorkcomputer</v>
      </c>
      <c r="C10" s="10" t="s">
        <v>228</v>
      </c>
      <c r="D10" s="10" t="s">
        <v>229</v>
      </c>
      <c r="E10" s="11" t="s">
        <v>57</v>
      </c>
      <c r="F10" s="37" t="s">
        <v>230</v>
      </c>
      <c r="G10" s="10"/>
      <c r="H10" s="10"/>
      <c r="I10" s="10"/>
    </row>
    <row r="11" spans="1:9" ht="18" customHeight="1" x14ac:dyDescent="0.25">
      <c r="A11" s="10" t="s">
        <v>177</v>
      </c>
      <c r="B11" s="31" t="str">
        <f t="shared" si="0"/>
        <v>UsingAnyWorkcomputer</v>
      </c>
      <c r="C11" s="10" t="s">
        <v>236</v>
      </c>
      <c r="D11" s="10" t="s">
        <v>237</v>
      </c>
      <c r="E11" s="11" t="s">
        <v>57</v>
      </c>
      <c r="F11" s="37" t="s">
        <v>238</v>
      </c>
      <c r="G11" s="10"/>
      <c r="H11" s="10"/>
      <c r="I11" s="10"/>
    </row>
    <row r="12" spans="1:9" ht="18" customHeight="1" x14ac:dyDescent="0.25">
      <c r="A12" s="10" t="s">
        <v>177</v>
      </c>
      <c r="B12" s="31" t="str">
        <f t="shared" si="0"/>
        <v>UsingAnyWorkcomputer</v>
      </c>
      <c r="C12" s="10" t="s">
        <v>358</v>
      </c>
      <c r="D12" s="10" t="s">
        <v>359</v>
      </c>
      <c r="E12" s="11" t="s">
        <v>57</v>
      </c>
      <c r="F12" s="37" t="s">
        <v>360</v>
      </c>
      <c r="G12" s="10"/>
      <c r="H12" s="10"/>
      <c r="I12" s="10"/>
    </row>
    <row r="13" spans="1:9" ht="18" customHeight="1" x14ac:dyDescent="0.2">
      <c r="A13" s="10" t="s">
        <v>15</v>
      </c>
      <c r="B13" s="31" t="str">
        <f t="shared" si="0"/>
        <v/>
      </c>
      <c r="C13" s="10" t="s">
        <v>143</v>
      </c>
      <c r="D13" s="12" t="s">
        <v>144</v>
      </c>
      <c r="E13" s="14" t="s">
        <v>66</v>
      </c>
      <c r="F13" s="15" t="s">
        <v>169</v>
      </c>
      <c r="G13" s="10"/>
      <c r="H13" s="10"/>
      <c r="I13" s="10"/>
    </row>
    <row r="14" spans="1:9" ht="18" customHeight="1" x14ac:dyDescent="0.2">
      <c r="A14" s="10" t="s">
        <v>15</v>
      </c>
      <c r="B14" s="31" t="str">
        <f t="shared" si="0"/>
        <v/>
      </c>
      <c r="C14" s="10" t="s">
        <v>71</v>
      </c>
      <c r="D14" s="12" t="s">
        <v>44</v>
      </c>
      <c r="E14" s="14" t="s">
        <v>57</v>
      </c>
      <c r="F14" s="15" t="s">
        <v>162</v>
      </c>
      <c r="G14" s="10"/>
      <c r="H14" s="10"/>
      <c r="I14" s="10"/>
    </row>
    <row r="15" spans="1:9" ht="18" customHeight="1" x14ac:dyDescent="0.2">
      <c r="A15" s="10" t="s">
        <v>15</v>
      </c>
      <c r="B15" s="31" t="str">
        <f t="shared" si="0"/>
        <v/>
      </c>
      <c r="C15" s="10" t="s">
        <v>73</v>
      </c>
      <c r="D15" s="12" t="s">
        <v>84</v>
      </c>
      <c r="E15" s="14" t="s">
        <v>57</v>
      </c>
      <c r="F15" s="15" t="s">
        <v>121</v>
      </c>
      <c r="G15" s="16" t="s">
        <v>76</v>
      </c>
      <c r="H15" s="10"/>
      <c r="I15" s="10"/>
    </row>
    <row r="16" spans="1:9" ht="18" customHeight="1" x14ac:dyDescent="0.2">
      <c r="A16" s="10" t="s">
        <v>15</v>
      </c>
      <c r="B16" s="31" t="str">
        <f t="shared" si="0"/>
        <v/>
      </c>
      <c r="C16" s="10" t="s">
        <v>111</v>
      </c>
      <c r="D16" s="12" t="s">
        <v>112</v>
      </c>
      <c r="E16" s="14" t="s">
        <v>57</v>
      </c>
      <c r="F16" s="17" t="s">
        <v>203</v>
      </c>
      <c r="G16" s="16"/>
      <c r="H16" s="10"/>
      <c r="I16" s="10"/>
    </row>
    <row r="17" spans="1:9" ht="18" customHeight="1" x14ac:dyDescent="0.2">
      <c r="A17" s="10" t="s">
        <v>15</v>
      </c>
      <c r="B17" s="31" t="str">
        <f t="shared" si="0"/>
        <v/>
      </c>
      <c r="C17" s="10" t="s">
        <v>74</v>
      </c>
      <c r="D17" s="10" t="s">
        <v>43</v>
      </c>
      <c r="E17" s="18"/>
      <c r="F17" s="17" t="s">
        <v>43</v>
      </c>
      <c r="G17" s="10"/>
      <c r="H17" s="10"/>
      <c r="I17" s="10"/>
    </row>
    <row r="18" spans="1:9" ht="18" customHeight="1" x14ac:dyDescent="0.2">
      <c r="A18" s="10" t="s">
        <v>15</v>
      </c>
      <c r="B18" s="31" t="str">
        <f t="shared" si="0"/>
        <v/>
      </c>
      <c r="C18" s="10" t="s">
        <v>72</v>
      </c>
      <c r="D18" s="10" t="s">
        <v>45</v>
      </c>
      <c r="E18" s="18" t="s">
        <v>57</v>
      </c>
      <c r="F18" s="17" t="s">
        <v>164</v>
      </c>
      <c r="G18" s="10"/>
      <c r="H18" s="10"/>
      <c r="I18" s="10"/>
    </row>
    <row r="19" spans="1:9" ht="18" customHeight="1" x14ac:dyDescent="0.2">
      <c r="A19" s="10" t="s">
        <v>15</v>
      </c>
      <c r="B19" s="31" t="str">
        <f t="shared" si="0"/>
        <v/>
      </c>
      <c r="C19" s="10" t="s">
        <v>113</v>
      </c>
      <c r="D19" s="12" t="s">
        <v>114</v>
      </c>
      <c r="E19" s="14" t="s">
        <v>57</v>
      </c>
      <c r="F19" s="17" t="s">
        <v>163</v>
      </c>
      <c r="G19" s="16"/>
      <c r="H19" s="10"/>
      <c r="I19" s="10"/>
    </row>
    <row r="20" spans="1:9" ht="18" customHeight="1" x14ac:dyDescent="0.2">
      <c r="A20" s="10" t="s">
        <v>15</v>
      </c>
      <c r="B20" s="31" t="str">
        <f t="shared" si="0"/>
        <v/>
      </c>
      <c r="C20" s="10" t="s">
        <v>77</v>
      </c>
      <c r="D20" s="12" t="s">
        <v>49</v>
      </c>
      <c r="E20" s="14" t="s">
        <v>57</v>
      </c>
      <c r="F20" s="15" t="s">
        <v>205</v>
      </c>
      <c r="G20" s="10"/>
      <c r="H20" s="10"/>
      <c r="I20" s="10"/>
    </row>
    <row r="21" spans="1:9" ht="18" customHeight="1" x14ac:dyDescent="0.2">
      <c r="A21" s="10" t="s">
        <v>10</v>
      </c>
      <c r="B21" s="31" t="str">
        <f t="shared" si="0"/>
        <v/>
      </c>
      <c r="C21" s="10" t="s">
        <v>141</v>
      </c>
      <c r="D21" s="10" t="s">
        <v>142</v>
      </c>
      <c r="E21" s="11" t="s">
        <v>57</v>
      </c>
      <c r="F21" s="19" t="s">
        <v>204</v>
      </c>
      <c r="G21" s="10"/>
      <c r="H21" s="10"/>
      <c r="I21" s="10"/>
    </row>
    <row r="22" spans="1:9" ht="18" customHeight="1" x14ac:dyDescent="0.2">
      <c r="A22" s="10" t="s">
        <v>10</v>
      </c>
      <c r="B22" s="31" t="str">
        <f t="shared" si="0"/>
        <v/>
      </c>
      <c r="C22" s="10" t="s">
        <v>224</v>
      </c>
      <c r="D22" s="10" t="s">
        <v>225</v>
      </c>
      <c r="E22" s="11" t="s">
        <v>57</v>
      </c>
      <c r="F22" s="19" t="s">
        <v>226</v>
      </c>
      <c r="G22" s="10"/>
      <c r="H22" s="10"/>
      <c r="I22" s="10"/>
    </row>
    <row r="23" spans="1:9" ht="18" customHeight="1" x14ac:dyDescent="0.2">
      <c r="A23" s="10" t="s">
        <v>10</v>
      </c>
      <c r="B23" s="31" t="str">
        <f t="shared" si="0"/>
        <v/>
      </c>
      <c r="C23" s="10" t="s">
        <v>41</v>
      </c>
      <c r="D23" s="10" t="s">
        <v>42</v>
      </c>
      <c r="E23" s="11" t="s">
        <v>57</v>
      </c>
      <c r="F23" s="10" t="s">
        <v>42</v>
      </c>
      <c r="G23" s="10"/>
      <c r="H23" s="10"/>
      <c r="I23" s="10"/>
    </row>
    <row r="24" spans="1:9" ht="18" customHeight="1" x14ac:dyDescent="0.2">
      <c r="A24" s="10" t="s">
        <v>10</v>
      </c>
      <c r="B24" s="31" t="str">
        <f t="shared" si="0"/>
        <v/>
      </c>
      <c r="C24" s="10" t="s">
        <v>39</v>
      </c>
      <c r="D24" s="10" t="s">
        <v>40</v>
      </c>
      <c r="E24" s="11" t="s">
        <v>57</v>
      </c>
      <c r="F24" s="16" t="str">
        <f>HYPERLINK("C:\Windows\system32\mspaint.exe")</f>
        <v>C:\Windows\system32\mspaint.exe</v>
      </c>
      <c r="G24" s="10"/>
      <c r="H24" s="10"/>
      <c r="I24" s="10"/>
    </row>
    <row r="25" spans="1:9" ht="18" customHeight="1" x14ac:dyDescent="0.2">
      <c r="A25" s="10" t="s">
        <v>10</v>
      </c>
      <c r="B25" s="31" t="str">
        <f t="shared" si="0"/>
        <v/>
      </c>
      <c r="C25" s="10" t="s">
        <v>190</v>
      </c>
      <c r="D25" s="10" t="s">
        <v>191</v>
      </c>
      <c r="E25" s="11" t="s">
        <v>57</v>
      </c>
      <c r="F25" s="13" t="s">
        <v>192</v>
      </c>
      <c r="G25" s="10"/>
      <c r="H25" s="10"/>
      <c r="I25" s="10"/>
    </row>
    <row r="26" spans="1:9" ht="18" customHeight="1" x14ac:dyDescent="0.2">
      <c r="A26" s="10" t="s">
        <v>10</v>
      </c>
      <c r="B26" s="31" t="str">
        <f t="shared" si="0"/>
        <v/>
      </c>
      <c r="C26" s="10" t="s">
        <v>368</v>
      </c>
      <c r="D26" s="10" t="s">
        <v>363</v>
      </c>
      <c r="E26" s="11" t="s">
        <v>57</v>
      </c>
      <c r="F26" s="17" t="s">
        <v>364</v>
      </c>
      <c r="G26" s="10"/>
      <c r="H26" s="10"/>
      <c r="I26" s="10"/>
    </row>
    <row r="27" spans="1:9" ht="18" customHeight="1" x14ac:dyDescent="0.2">
      <c r="A27" s="10" t="s">
        <v>10</v>
      </c>
      <c r="B27" s="31" t="str">
        <f t="shared" si="0"/>
        <v/>
      </c>
      <c r="C27" s="10" t="s">
        <v>365</v>
      </c>
      <c r="D27" s="10" t="s">
        <v>366</v>
      </c>
      <c r="E27" s="11"/>
      <c r="F27" s="17" t="s">
        <v>367</v>
      </c>
      <c r="G27" s="10"/>
      <c r="H27" s="10"/>
      <c r="I27" s="10"/>
    </row>
    <row r="28" spans="1:9" ht="18" customHeight="1" x14ac:dyDescent="0.2">
      <c r="A28" s="10" t="s">
        <v>101</v>
      </c>
      <c r="B28" s="31" t="str">
        <f t="shared" si="0"/>
        <v/>
      </c>
      <c r="C28" s="10" t="s">
        <v>117</v>
      </c>
      <c r="D28" s="10" t="s">
        <v>118</v>
      </c>
      <c r="E28" s="11"/>
      <c r="F28" s="12" t="s">
        <v>188</v>
      </c>
      <c r="G28" s="10"/>
      <c r="H28" s="10"/>
      <c r="I28" s="10"/>
    </row>
    <row r="29" spans="1:9" ht="18" customHeight="1" x14ac:dyDescent="0.2">
      <c r="A29" s="10" t="s">
        <v>11</v>
      </c>
      <c r="B29" s="31" t="str">
        <f t="shared" si="0"/>
        <v/>
      </c>
      <c r="C29" s="10" t="s">
        <v>13</v>
      </c>
      <c r="D29" s="10" t="s">
        <v>47</v>
      </c>
      <c r="E29" s="18" t="s">
        <v>57</v>
      </c>
      <c r="F29" s="17" t="s">
        <v>220</v>
      </c>
      <c r="G29" s="10"/>
      <c r="H29" s="10"/>
      <c r="I29" s="10"/>
    </row>
    <row r="30" spans="1:9" ht="18" customHeight="1" x14ac:dyDescent="0.2">
      <c r="A30" s="10" t="s">
        <v>11</v>
      </c>
      <c r="B30" s="31" t="str">
        <f t="shared" si="0"/>
        <v/>
      </c>
      <c r="C30" s="10" t="s">
        <v>12</v>
      </c>
      <c r="D30" s="10" t="s">
        <v>46</v>
      </c>
      <c r="E30" s="18" t="s">
        <v>57</v>
      </c>
      <c r="F30" s="17" t="s">
        <v>176</v>
      </c>
      <c r="G30" s="10"/>
      <c r="H30" s="10"/>
      <c r="I30" s="10"/>
    </row>
    <row r="31" spans="1:9" ht="18" customHeight="1" x14ac:dyDescent="0.2">
      <c r="A31" s="10" t="s">
        <v>11</v>
      </c>
      <c r="B31" s="31" t="str">
        <f t="shared" si="0"/>
        <v/>
      </c>
      <c r="C31" s="10" t="s">
        <v>181</v>
      </c>
      <c r="D31" s="10" t="s">
        <v>182</v>
      </c>
      <c r="E31" s="18" t="s">
        <v>57</v>
      </c>
      <c r="F31" s="17" t="s">
        <v>180</v>
      </c>
      <c r="G31" s="10"/>
      <c r="I31" s="10"/>
    </row>
    <row r="32" spans="1:9" ht="18" customHeight="1" x14ac:dyDescent="0.2">
      <c r="A32" s="10" t="s">
        <v>11</v>
      </c>
      <c r="B32" s="31" t="str">
        <f t="shared" si="0"/>
        <v/>
      </c>
      <c r="C32" s="10" t="s">
        <v>223</v>
      </c>
      <c r="D32" s="10" t="s">
        <v>222</v>
      </c>
      <c r="E32" s="11" t="s">
        <v>57</v>
      </c>
      <c r="F32" s="10" t="s">
        <v>221</v>
      </c>
      <c r="G32" s="10"/>
      <c r="I32" s="10"/>
    </row>
    <row r="33" spans="1:9" ht="18" customHeight="1" x14ac:dyDescent="0.2">
      <c r="A33" s="10" t="s">
        <v>11</v>
      </c>
      <c r="B33" s="31" t="str">
        <f t="shared" si="0"/>
        <v/>
      </c>
      <c r="C33" s="10" t="s">
        <v>14</v>
      </c>
      <c r="D33" s="12" t="s">
        <v>48</v>
      </c>
      <c r="E33" s="14" t="s">
        <v>57</v>
      </c>
      <c r="F33" s="20" t="s">
        <v>59</v>
      </c>
      <c r="G33" s="10"/>
      <c r="I33" s="10"/>
    </row>
    <row r="34" spans="1:9" ht="18" customHeight="1" x14ac:dyDescent="0.2">
      <c r="A34" s="10" t="s">
        <v>11</v>
      </c>
      <c r="B34" s="31" t="str">
        <f t="shared" si="0"/>
        <v/>
      </c>
      <c r="C34" s="10" t="s">
        <v>170</v>
      </c>
      <c r="D34" s="10" t="s">
        <v>171</v>
      </c>
      <c r="E34" s="11" t="s">
        <v>57</v>
      </c>
      <c r="F34" s="10" t="s">
        <v>172</v>
      </c>
      <c r="G34" s="10" t="s">
        <v>173</v>
      </c>
      <c r="H34" s="10"/>
      <c r="I34" s="10"/>
    </row>
    <row r="35" spans="1:9" ht="18" customHeight="1" x14ac:dyDescent="0.2">
      <c r="A35" s="10" t="s">
        <v>11</v>
      </c>
      <c r="B35" s="31" t="str">
        <f t="shared" ref="B35:B74" si="1">IF(A35="_work","UsingAnyWorkcomputer","")</f>
        <v/>
      </c>
      <c r="C35" s="10" t="s">
        <v>196</v>
      </c>
      <c r="D35" s="10" t="s">
        <v>197</v>
      </c>
      <c r="E35" s="11" t="s">
        <v>57</v>
      </c>
      <c r="F35" s="10" t="s">
        <v>198</v>
      </c>
      <c r="G35" s="10"/>
      <c r="H35" s="10"/>
      <c r="I35" s="10"/>
    </row>
    <row r="36" spans="1:9" ht="18" customHeight="1" x14ac:dyDescent="0.2">
      <c r="A36" s="10" t="s">
        <v>2</v>
      </c>
      <c r="B36" s="31" t="str">
        <f t="shared" si="1"/>
        <v/>
      </c>
      <c r="C36" s="21" t="s">
        <v>35</v>
      </c>
      <c r="D36" s="10" t="s">
        <v>36</v>
      </c>
      <c r="E36" s="11" t="s">
        <v>5</v>
      </c>
      <c r="F36" s="16" t="s">
        <v>34</v>
      </c>
      <c r="G36" s="10"/>
      <c r="H36" s="10"/>
      <c r="I36" s="10"/>
    </row>
    <row r="37" spans="1:9" ht="18" customHeight="1" x14ac:dyDescent="0.2">
      <c r="A37" s="10" t="s">
        <v>2</v>
      </c>
      <c r="B37" s="31" t="str">
        <f t="shared" si="1"/>
        <v/>
      </c>
      <c r="C37" s="10" t="s">
        <v>63</v>
      </c>
      <c r="D37" s="10" t="s">
        <v>75</v>
      </c>
      <c r="E37" s="11" t="s">
        <v>66</v>
      </c>
      <c r="F37" s="22" t="s">
        <v>159</v>
      </c>
      <c r="G37" s="16"/>
      <c r="H37" s="10"/>
      <c r="I37" s="10"/>
    </row>
    <row r="38" spans="1:9" ht="18" customHeight="1" x14ac:dyDescent="0.2">
      <c r="A38" s="10" t="s">
        <v>2</v>
      </c>
      <c r="B38" s="31" t="str">
        <f t="shared" si="1"/>
        <v/>
      </c>
      <c r="C38" s="10" t="s">
        <v>3</v>
      </c>
      <c r="D38" s="10" t="s">
        <v>4</v>
      </c>
      <c r="E38" s="11" t="s">
        <v>5</v>
      </c>
      <c r="F38" s="10" t="s">
        <v>27</v>
      </c>
      <c r="G38" s="10"/>
      <c r="H38" s="10"/>
      <c r="I38" s="10"/>
    </row>
    <row r="39" spans="1:9" ht="18" customHeight="1" x14ac:dyDescent="0.2">
      <c r="A39" s="10" t="s">
        <v>2</v>
      </c>
      <c r="B39" s="31" t="str">
        <f t="shared" si="1"/>
        <v/>
      </c>
      <c r="C39" s="10" t="s">
        <v>6</v>
      </c>
      <c r="D39" s="10" t="s">
        <v>7</v>
      </c>
      <c r="E39" s="18" t="s">
        <v>5</v>
      </c>
      <c r="F39" s="23" t="s">
        <v>26</v>
      </c>
      <c r="G39" s="10"/>
      <c r="H39" s="10"/>
      <c r="I39" s="10"/>
    </row>
    <row r="40" spans="1:9" ht="18" customHeight="1" x14ac:dyDescent="0.2">
      <c r="A40" s="10" t="s">
        <v>2</v>
      </c>
      <c r="B40" s="31" t="str">
        <f t="shared" si="1"/>
        <v/>
      </c>
      <c r="C40" s="10" t="s">
        <v>29</v>
      </c>
      <c r="D40" s="10" t="s">
        <v>30</v>
      </c>
      <c r="E40" s="11" t="s">
        <v>5</v>
      </c>
      <c r="F40" s="16" t="s">
        <v>32</v>
      </c>
      <c r="G40" s="16" t="s">
        <v>31</v>
      </c>
      <c r="H40" s="10"/>
      <c r="I40" s="10"/>
    </row>
    <row r="41" spans="1:9" ht="18" customHeight="1" x14ac:dyDescent="0.2">
      <c r="A41" s="10" t="s">
        <v>2</v>
      </c>
      <c r="B41" s="31" t="str">
        <f t="shared" si="1"/>
        <v/>
      </c>
      <c r="C41" s="10" t="s">
        <v>70</v>
      </c>
      <c r="D41" s="10" t="s">
        <v>56</v>
      </c>
      <c r="E41" s="11" t="s">
        <v>66</v>
      </c>
      <c r="F41" s="12" t="s">
        <v>167</v>
      </c>
      <c r="G41" s="10"/>
      <c r="H41" s="10"/>
      <c r="I41" s="10"/>
    </row>
    <row r="42" spans="1:9" ht="18" customHeight="1" x14ac:dyDescent="0.2">
      <c r="A42" s="10" t="s">
        <v>2</v>
      </c>
      <c r="B42" s="31" t="str">
        <f t="shared" si="1"/>
        <v/>
      </c>
      <c r="C42" s="10" t="s">
        <v>92</v>
      </c>
      <c r="D42" s="10" t="s">
        <v>166</v>
      </c>
      <c r="E42" s="11" t="s">
        <v>5</v>
      </c>
      <c r="F42" s="12" t="s">
        <v>93</v>
      </c>
      <c r="G42" s="10"/>
      <c r="H42" s="10"/>
      <c r="I42" s="10"/>
    </row>
    <row r="43" spans="1:9" ht="18" customHeight="1" x14ac:dyDescent="0.2">
      <c r="A43" s="10" t="s">
        <v>2</v>
      </c>
      <c r="B43" s="31" t="str">
        <f t="shared" si="1"/>
        <v/>
      </c>
      <c r="C43" s="10" t="s">
        <v>199</v>
      </c>
      <c r="D43" s="10" t="s">
        <v>200</v>
      </c>
      <c r="E43" s="11" t="s">
        <v>5</v>
      </c>
      <c r="F43" s="12" t="s">
        <v>201</v>
      </c>
      <c r="G43" s="10"/>
      <c r="H43" s="10"/>
      <c r="I43" s="10"/>
    </row>
    <row r="44" spans="1:9" ht="18" customHeight="1" x14ac:dyDescent="0.2">
      <c r="A44" s="10" t="s">
        <v>2</v>
      </c>
      <c r="B44" s="31" t="str">
        <f t="shared" si="1"/>
        <v/>
      </c>
      <c r="C44" s="10" t="s">
        <v>100</v>
      </c>
      <c r="D44" s="10" t="s">
        <v>99</v>
      </c>
      <c r="E44" s="11" t="s">
        <v>5</v>
      </c>
      <c r="F44" s="13" t="s">
        <v>98</v>
      </c>
      <c r="G44" s="10"/>
      <c r="H44" s="10"/>
      <c r="I44" s="10"/>
    </row>
    <row r="45" spans="1:9" ht="18" customHeight="1" x14ac:dyDescent="0.2">
      <c r="A45" s="10" t="s">
        <v>2</v>
      </c>
      <c r="B45" s="31" t="str">
        <f t="shared" si="1"/>
        <v/>
      </c>
      <c r="C45" s="10" t="s">
        <v>8</v>
      </c>
      <c r="D45" s="10" t="s">
        <v>17</v>
      </c>
      <c r="E45" s="11" t="s">
        <v>5</v>
      </c>
      <c r="F45" s="24" t="s">
        <v>28</v>
      </c>
      <c r="G45" s="10"/>
      <c r="H45" s="10"/>
      <c r="I45" s="10"/>
    </row>
    <row r="46" spans="1:9" ht="18" customHeight="1" x14ac:dyDescent="0.2">
      <c r="A46" s="10" t="s">
        <v>9</v>
      </c>
      <c r="B46" s="31" t="str">
        <f t="shared" si="1"/>
        <v/>
      </c>
      <c r="C46" s="10" t="s">
        <v>22</v>
      </c>
      <c r="D46" s="10" t="s">
        <v>23</v>
      </c>
      <c r="E46" s="11" t="s">
        <v>57</v>
      </c>
      <c r="F46" s="16" t="s">
        <v>64</v>
      </c>
      <c r="G46" s="10"/>
      <c r="H46" s="10"/>
      <c r="I46" s="10"/>
    </row>
    <row r="47" spans="1:9" ht="18" customHeight="1" x14ac:dyDescent="0.2">
      <c r="A47" s="10" t="s">
        <v>9</v>
      </c>
      <c r="B47" s="31" t="str">
        <f t="shared" si="1"/>
        <v/>
      </c>
      <c r="C47" s="10" t="s">
        <v>18</v>
      </c>
      <c r="D47" s="10" t="s">
        <v>19</v>
      </c>
      <c r="E47" s="11" t="s">
        <v>57</v>
      </c>
      <c r="F47" s="25" t="s">
        <v>160</v>
      </c>
      <c r="G47" s="10"/>
      <c r="H47" s="10"/>
      <c r="I47" s="10"/>
    </row>
    <row r="48" spans="1:9" ht="18" customHeight="1" x14ac:dyDescent="0.2">
      <c r="A48" s="10" t="s">
        <v>9</v>
      </c>
      <c r="B48" s="31" t="str">
        <f t="shared" si="1"/>
        <v/>
      </c>
      <c r="C48" s="10" t="s">
        <v>88</v>
      </c>
      <c r="D48" s="10" t="s">
        <v>89</v>
      </c>
      <c r="E48" s="11" t="s">
        <v>57</v>
      </c>
      <c r="F48" s="13" t="s">
        <v>90</v>
      </c>
      <c r="G48" s="10"/>
      <c r="H48" s="10"/>
      <c r="I48" s="10"/>
    </row>
    <row r="49" spans="1:9" ht="18" customHeight="1" x14ac:dyDescent="0.2">
      <c r="A49" s="10" t="s">
        <v>9</v>
      </c>
      <c r="B49" s="31" t="str">
        <f t="shared" si="1"/>
        <v/>
      </c>
      <c r="C49" s="10" t="s">
        <v>37</v>
      </c>
      <c r="D49" s="10" t="s">
        <v>38</v>
      </c>
      <c r="E49" s="11" t="s">
        <v>57</v>
      </c>
      <c r="F49" s="26" t="s">
        <v>161</v>
      </c>
      <c r="G49" s="10"/>
      <c r="H49" s="10"/>
      <c r="I49" s="10"/>
    </row>
    <row r="50" spans="1:9" ht="18" customHeight="1" x14ac:dyDescent="0.2">
      <c r="A50" s="10" t="s">
        <v>9</v>
      </c>
      <c r="B50" s="31" t="str">
        <f t="shared" si="1"/>
        <v/>
      </c>
      <c r="C50" s="10" t="s">
        <v>81</v>
      </c>
      <c r="D50" s="10" t="s">
        <v>82</v>
      </c>
      <c r="E50" s="11" t="s">
        <v>57</v>
      </c>
      <c r="F50" s="13" t="s">
        <v>83</v>
      </c>
      <c r="G50" s="10"/>
      <c r="H50" s="10"/>
      <c r="I50" s="10"/>
    </row>
    <row r="51" spans="1:9" ht="18" customHeight="1" x14ac:dyDescent="0.2">
      <c r="A51" s="10" t="s">
        <v>9</v>
      </c>
      <c r="B51" s="31" t="str">
        <f t="shared" si="1"/>
        <v/>
      </c>
      <c r="C51" s="10" t="s">
        <v>24</v>
      </c>
      <c r="D51" s="10" t="s">
        <v>25</v>
      </c>
      <c r="E51" s="11" t="s">
        <v>57</v>
      </c>
      <c r="F51" s="16" t="s">
        <v>58</v>
      </c>
      <c r="G51" s="10"/>
      <c r="H51" s="10"/>
      <c r="I51" s="10"/>
    </row>
    <row r="52" spans="1:9" ht="18" customHeight="1" x14ac:dyDescent="0.2">
      <c r="A52" s="10" t="s">
        <v>9</v>
      </c>
      <c r="B52" s="31" t="str">
        <f t="shared" si="1"/>
        <v/>
      </c>
      <c r="C52" s="10" t="s">
        <v>20</v>
      </c>
      <c r="D52" s="10" t="s">
        <v>21</v>
      </c>
      <c r="E52" s="11" t="s">
        <v>57</v>
      </c>
      <c r="F52" s="27" t="s">
        <v>65</v>
      </c>
      <c r="G52" s="10"/>
      <c r="H52" s="10"/>
      <c r="I52" s="10"/>
    </row>
    <row r="53" spans="1:9" ht="18" customHeight="1" x14ac:dyDescent="0.2">
      <c r="A53" s="10" t="s">
        <v>9</v>
      </c>
      <c r="B53" s="31" t="str">
        <f t="shared" si="1"/>
        <v/>
      </c>
      <c r="C53" s="10" t="s">
        <v>86</v>
      </c>
      <c r="D53" s="10" t="s">
        <v>87</v>
      </c>
      <c r="E53" s="11" t="s">
        <v>57</v>
      </c>
      <c r="F53" s="13" t="s">
        <v>91</v>
      </c>
      <c r="G53" s="10"/>
      <c r="H53" s="10"/>
      <c r="I53" s="10"/>
    </row>
    <row r="54" spans="1:9" ht="18" customHeight="1" x14ac:dyDescent="0.2">
      <c r="A54" s="10" t="s">
        <v>9</v>
      </c>
      <c r="B54" s="31" t="str">
        <f t="shared" si="1"/>
        <v/>
      </c>
      <c r="C54" s="10" t="s">
        <v>51</v>
      </c>
      <c r="D54" s="10" t="s">
        <v>52</v>
      </c>
      <c r="E54" s="11" t="s">
        <v>57</v>
      </c>
      <c r="F54" s="16" t="s">
        <v>61</v>
      </c>
      <c r="G54" s="10"/>
      <c r="H54" s="10"/>
      <c r="I54" s="10"/>
    </row>
    <row r="55" spans="1:9" ht="18" customHeight="1" x14ac:dyDescent="0.2">
      <c r="A55" s="10" t="s">
        <v>9</v>
      </c>
      <c r="B55" s="31" t="str">
        <f t="shared" si="1"/>
        <v/>
      </c>
      <c r="C55" s="10" t="s">
        <v>78</v>
      </c>
      <c r="D55" s="10" t="s">
        <v>79</v>
      </c>
      <c r="E55" s="11" t="s">
        <v>57</v>
      </c>
      <c r="F55" s="13" t="s">
        <v>80</v>
      </c>
      <c r="G55" s="10"/>
      <c r="H55" s="10"/>
      <c r="I55" s="10"/>
    </row>
    <row r="56" spans="1:9" ht="18" customHeight="1" x14ac:dyDescent="0.2">
      <c r="A56" s="10" t="s">
        <v>53</v>
      </c>
      <c r="B56" s="31" t="str">
        <f t="shared" si="1"/>
        <v/>
      </c>
      <c r="C56" s="10" t="s">
        <v>175</v>
      </c>
      <c r="D56" s="10" t="s">
        <v>102</v>
      </c>
      <c r="E56" s="11" t="s">
        <v>57</v>
      </c>
      <c r="F56" s="15" t="s">
        <v>218</v>
      </c>
      <c r="G56" s="10"/>
      <c r="H56" s="10"/>
      <c r="I56" s="10"/>
    </row>
    <row r="57" spans="1:9" ht="18" customHeight="1" x14ac:dyDescent="0.2">
      <c r="A57" s="10" t="s">
        <v>53</v>
      </c>
      <c r="B57" s="31" t="str">
        <f t="shared" si="1"/>
        <v/>
      </c>
      <c r="C57" s="10" t="s">
        <v>94</v>
      </c>
      <c r="D57" s="10" t="s">
        <v>95</v>
      </c>
      <c r="E57" s="11" t="s">
        <v>57</v>
      </c>
      <c r="F57" s="10" t="s">
        <v>85</v>
      </c>
      <c r="G57" s="10"/>
      <c r="H57" s="10"/>
      <c r="I57" s="10"/>
    </row>
    <row r="58" spans="1:9" ht="18" customHeight="1" x14ac:dyDescent="0.2">
      <c r="A58" s="10" t="s">
        <v>53</v>
      </c>
      <c r="B58" s="31" t="str">
        <f t="shared" si="1"/>
        <v/>
      </c>
      <c r="C58" s="10" t="s">
        <v>107</v>
      </c>
      <c r="D58" s="10" t="s">
        <v>108</v>
      </c>
      <c r="E58" s="11" t="s">
        <v>145</v>
      </c>
      <c r="F58" s="10" t="s">
        <v>148</v>
      </c>
      <c r="G58" s="10"/>
      <c r="H58" s="10"/>
      <c r="I58" s="10"/>
    </row>
    <row r="59" spans="1:9" ht="18" customHeight="1" x14ac:dyDescent="0.2">
      <c r="A59" s="10" t="s">
        <v>53</v>
      </c>
      <c r="B59" s="31" t="str">
        <f t="shared" si="1"/>
        <v/>
      </c>
      <c r="C59" s="10" t="s">
        <v>67</v>
      </c>
      <c r="D59" s="10" t="s">
        <v>68</v>
      </c>
      <c r="E59" s="11" t="s">
        <v>57</v>
      </c>
      <c r="F59" s="10" t="s">
        <v>154</v>
      </c>
      <c r="G59" s="10"/>
      <c r="H59" s="10"/>
      <c r="I59" s="10"/>
    </row>
    <row r="60" spans="1:9" ht="18" customHeight="1" x14ac:dyDescent="0.2">
      <c r="A60" s="10" t="s">
        <v>53</v>
      </c>
      <c r="B60" s="31" t="str">
        <f t="shared" si="1"/>
        <v/>
      </c>
      <c r="C60" s="10" t="s">
        <v>127</v>
      </c>
      <c r="D60" s="10" t="s">
        <v>128</v>
      </c>
      <c r="E60" s="11" t="s">
        <v>145</v>
      </c>
      <c r="F60" s="10" t="s">
        <v>146</v>
      </c>
      <c r="G60" s="10"/>
      <c r="H60" s="10"/>
      <c r="I60" s="10"/>
    </row>
    <row r="61" spans="1:9" ht="18" customHeight="1" x14ac:dyDescent="0.2">
      <c r="A61" s="10" t="s">
        <v>53</v>
      </c>
      <c r="B61" s="31" t="str">
        <f t="shared" si="1"/>
        <v/>
      </c>
      <c r="C61" s="10" t="s">
        <v>361</v>
      </c>
      <c r="D61" s="10" t="s">
        <v>69</v>
      </c>
      <c r="E61" s="11" t="s">
        <v>57</v>
      </c>
      <c r="F61" s="10" t="s">
        <v>155</v>
      </c>
      <c r="G61" s="10"/>
      <c r="H61" s="10"/>
      <c r="I61" s="10"/>
    </row>
    <row r="62" spans="1:9" ht="18" customHeight="1" x14ac:dyDescent="0.2">
      <c r="A62" s="10" t="s">
        <v>53</v>
      </c>
      <c r="B62" s="31" t="str">
        <f t="shared" si="1"/>
        <v/>
      </c>
      <c r="C62" s="10" t="s">
        <v>135</v>
      </c>
      <c r="D62" s="10" t="s">
        <v>136</v>
      </c>
      <c r="E62" s="11" t="s">
        <v>145</v>
      </c>
      <c r="F62" s="10" t="s">
        <v>362</v>
      </c>
      <c r="G62" s="10"/>
      <c r="H62" s="10"/>
      <c r="I62" s="10"/>
    </row>
    <row r="63" spans="1:9" ht="18" customHeight="1" x14ac:dyDescent="0.2">
      <c r="A63" s="10" t="s">
        <v>53</v>
      </c>
      <c r="B63" s="31" t="str">
        <f t="shared" si="1"/>
        <v/>
      </c>
      <c r="C63" s="10" t="s">
        <v>96</v>
      </c>
      <c r="D63" s="10" t="s">
        <v>97</v>
      </c>
      <c r="E63" s="11" t="s">
        <v>57</v>
      </c>
      <c r="F63" s="4" t="s">
        <v>85</v>
      </c>
      <c r="G63" s="10"/>
      <c r="H63" s="10"/>
      <c r="I63" s="10"/>
    </row>
    <row r="64" spans="1:9" ht="18" customHeight="1" x14ac:dyDescent="0.2">
      <c r="A64" s="10" t="s">
        <v>53</v>
      </c>
      <c r="B64" s="31" t="str">
        <f t="shared" si="1"/>
        <v/>
      </c>
      <c r="C64" s="10" t="s">
        <v>129</v>
      </c>
      <c r="D64" s="10" t="s">
        <v>130</v>
      </c>
      <c r="E64" s="11"/>
      <c r="F64" s="28" t="s">
        <v>174</v>
      </c>
      <c r="G64" s="10"/>
      <c r="H64" s="10"/>
      <c r="I64" s="10"/>
    </row>
    <row r="65" spans="1:9" ht="18" customHeight="1" x14ac:dyDescent="0.2">
      <c r="A65" s="10" t="s">
        <v>53</v>
      </c>
      <c r="B65" s="31" t="str">
        <f t="shared" si="1"/>
        <v/>
      </c>
      <c r="C65" s="10" t="s">
        <v>103</v>
      </c>
      <c r="D65" s="10" t="s">
        <v>104</v>
      </c>
      <c r="E65" s="11"/>
      <c r="F65" s="12" t="s">
        <v>156</v>
      </c>
      <c r="G65" s="10"/>
      <c r="H65" s="10"/>
      <c r="I65" s="10"/>
    </row>
    <row r="66" spans="1:9" ht="18" customHeight="1" x14ac:dyDescent="0.2">
      <c r="A66" s="10" t="s">
        <v>53</v>
      </c>
      <c r="B66" s="31" t="str">
        <f t="shared" si="1"/>
        <v/>
      </c>
      <c r="C66" s="10" t="s">
        <v>109</v>
      </c>
      <c r="D66" s="10" t="s">
        <v>110</v>
      </c>
      <c r="E66" s="11" t="s">
        <v>145</v>
      </c>
      <c r="F66" s="10" t="s">
        <v>149</v>
      </c>
      <c r="G66" s="10"/>
      <c r="H66" s="10"/>
      <c r="I66" s="10"/>
    </row>
    <row r="67" spans="1:9" ht="18" customHeight="1" x14ac:dyDescent="0.2">
      <c r="A67" s="10" t="s">
        <v>53</v>
      </c>
      <c r="B67" s="31" t="str">
        <f t="shared" si="1"/>
        <v/>
      </c>
      <c r="C67" s="10" t="s">
        <v>137</v>
      </c>
      <c r="D67" s="10" t="s">
        <v>138</v>
      </c>
      <c r="E67" s="11"/>
      <c r="F67" s="12" t="s">
        <v>153</v>
      </c>
      <c r="G67" s="10"/>
      <c r="H67" s="10"/>
      <c r="I67" s="10"/>
    </row>
    <row r="68" spans="1:9" ht="18" customHeight="1" x14ac:dyDescent="0.2">
      <c r="A68" s="10" t="s">
        <v>53</v>
      </c>
      <c r="B68" s="31" t="str">
        <f t="shared" si="1"/>
        <v/>
      </c>
      <c r="C68" s="10" t="s">
        <v>133</v>
      </c>
      <c r="D68" s="10" t="s">
        <v>134</v>
      </c>
      <c r="E68" s="11" t="s">
        <v>145</v>
      </c>
      <c r="F68" s="10" t="s">
        <v>151</v>
      </c>
      <c r="G68" s="10"/>
      <c r="H68" s="10"/>
      <c r="I68" s="10"/>
    </row>
    <row r="69" spans="1:9" ht="18" customHeight="1" x14ac:dyDescent="0.2">
      <c r="A69" s="10" t="s">
        <v>53</v>
      </c>
      <c r="B69" s="31" t="str">
        <f t="shared" si="1"/>
        <v/>
      </c>
      <c r="C69" s="10" t="s">
        <v>115</v>
      </c>
      <c r="D69" s="10" t="s">
        <v>116</v>
      </c>
      <c r="E69" s="11" t="s">
        <v>145</v>
      </c>
      <c r="F69" s="10" t="s">
        <v>150</v>
      </c>
      <c r="G69" s="10"/>
      <c r="H69" s="10"/>
      <c r="I69" s="10"/>
    </row>
    <row r="70" spans="1:9" ht="18" customHeight="1" x14ac:dyDescent="0.2">
      <c r="A70" s="10" t="s">
        <v>53</v>
      </c>
      <c r="B70" s="31" t="str">
        <f t="shared" si="1"/>
        <v/>
      </c>
      <c r="C70" s="10" t="s">
        <v>54</v>
      </c>
      <c r="D70" s="10" t="s">
        <v>55</v>
      </c>
      <c r="E70" s="11" t="s">
        <v>57</v>
      </c>
      <c r="F70" s="10" t="s">
        <v>62</v>
      </c>
      <c r="G70" s="10"/>
      <c r="H70" s="10"/>
      <c r="I70" s="10"/>
    </row>
    <row r="71" spans="1:9" ht="18" customHeight="1" x14ac:dyDescent="0.2">
      <c r="A71" s="10" t="s">
        <v>53</v>
      </c>
      <c r="B71" s="31" t="str">
        <f t="shared" si="1"/>
        <v/>
      </c>
      <c r="C71" s="10" t="s">
        <v>119</v>
      </c>
      <c r="D71" s="10" t="s">
        <v>120</v>
      </c>
      <c r="E71" s="11" t="s">
        <v>145</v>
      </c>
      <c r="F71" s="10" t="s">
        <v>152</v>
      </c>
      <c r="G71" s="10"/>
      <c r="H71" s="10"/>
      <c r="I71" s="10"/>
    </row>
    <row r="72" spans="1:9" ht="18" customHeight="1" x14ac:dyDescent="0.2">
      <c r="A72" s="10" t="s">
        <v>53</v>
      </c>
      <c r="B72" s="31" t="str">
        <f t="shared" si="1"/>
        <v/>
      </c>
      <c r="C72" s="10" t="s">
        <v>131</v>
      </c>
      <c r="D72" s="10" t="s">
        <v>132</v>
      </c>
      <c r="E72" s="11" t="s">
        <v>57</v>
      </c>
      <c r="F72" s="12" t="s">
        <v>85</v>
      </c>
      <c r="G72" s="10"/>
      <c r="H72" s="10"/>
      <c r="I72" s="10"/>
    </row>
    <row r="73" spans="1:9" ht="18" customHeight="1" x14ac:dyDescent="0.2">
      <c r="A73" s="10" t="s">
        <v>53</v>
      </c>
      <c r="B73" s="31" t="str">
        <f t="shared" si="1"/>
        <v/>
      </c>
      <c r="C73" s="10" t="s">
        <v>105</v>
      </c>
      <c r="D73" s="10" t="s">
        <v>106</v>
      </c>
      <c r="E73" s="11" t="s">
        <v>145</v>
      </c>
      <c r="F73" s="10" t="s">
        <v>147</v>
      </c>
      <c r="G73" s="10"/>
      <c r="H73" s="10"/>
      <c r="I73" s="10"/>
    </row>
    <row r="74" spans="1:9" ht="18" customHeight="1" x14ac:dyDescent="0.2">
      <c r="A74" s="10" t="s">
        <v>53</v>
      </c>
      <c r="B74" s="31" t="str">
        <f t="shared" si="1"/>
        <v/>
      </c>
      <c r="C74" s="10" t="s">
        <v>193</v>
      </c>
      <c r="D74" s="10" t="s">
        <v>194</v>
      </c>
      <c r="E74" s="11" t="s">
        <v>57</v>
      </c>
      <c r="F74" s="30" t="s">
        <v>195</v>
      </c>
      <c r="G74" s="10"/>
      <c r="H74" s="10"/>
      <c r="I74" s="10"/>
    </row>
    <row r="75" spans="1:9" ht="18" customHeight="1" x14ac:dyDescent="0.2">
      <c r="A75" s="10" t="s">
        <v>287</v>
      </c>
      <c r="B75" s="31" t="s">
        <v>309</v>
      </c>
      <c r="C75" s="10" t="s">
        <v>310</v>
      </c>
      <c r="D75" s="10" t="s">
        <v>288</v>
      </c>
      <c r="E75" s="11"/>
      <c r="F75" s="10" t="s">
        <v>332</v>
      </c>
      <c r="G75" s="10"/>
      <c r="H75" s="10"/>
      <c r="I75" s="10"/>
    </row>
    <row r="76" spans="1:9" ht="18" customHeight="1" x14ac:dyDescent="0.2">
      <c r="A76" s="10" t="s">
        <v>287</v>
      </c>
      <c r="B76" s="31" t="s">
        <v>309</v>
      </c>
      <c r="C76" s="10" t="s">
        <v>311</v>
      </c>
      <c r="D76" s="10" t="s">
        <v>289</v>
      </c>
      <c r="E76" s="11"/>
      <c r="F76" s="4" t="s">
        <v>333</v>
      </c>
      <c r="G76" s="10"/>
      <c r="H76" s="10"/>
      <c r="I76" s="10"/>
    </row>
    <row r="77" spans="1:9" ht="18" customHeight="1" x14ac:dyDescent="0.2">
      <c r="A77" s="10" t="s">
        <v>287</v>
      </c>
      <c r="B77" s="31" t="s">
        <v>309</v>
      </c>
      <c r="C77" s="10" t="s">
        <v>312</v>
      </c>
      <c r="D77" s="10" t="s">
        <v>290</v>
      </c>
      <c r="E77" s="11"/>
      <c r="F77" s="12" t="s">
        <v>334</v>
      </c>
      <c r="G77" s="10"/>
      <c r="H77" s="10"/>
      <c r="I77" s="10"/>
    </row>
    <row r="78" spans="1:9" ht="18" customHeight="1" x14ac:dyDescent="0.2">
      <c r="A78" s="10" t="s">
        <v>287</v>
      </c>
      <c r="B78" s="31" t="s">
        <v>309</v>
      </c>
      <c r="C78" s="10" t="s">
        <v>313</v>
      </c>
      <c r="D78" s="10" t="s">
        <v>291</v>
      </c>
      <c r="E78" s="11"/>
      <c r="F78" s="10" t="s">
        <v>331</v>
      </c>
      <c r="G78" s="10"/>
      <c r="H78" s="11"/>
      <c r="I78" s="10"/>
    </row>
    <row r="79" spans="1:9" ht="18" customHeight="1" x14ac:dyDescent="0.2">
      <c r="A79" s="10" t="s">
        <v>287</v>
      </c>
      <c r="B79" s="31" t="s">
        <v>309</v>
      </c>
      <c r="C79" s="10" t="s">
        <v>314</v>
      </c>
      <c r="D79" s="10" t="s">
        <v>292</v>
      </c>
      <c r="E79" s="11"/>
      <c r="F79" s="10" t="s">
        <v>335</v>
      </c>
      <c r="G79" s="10"/>
      <c r="H79" s="10"/>
      <c r="I79" s="10"/>
    </row>
    <row r="80" spans="1:9" ht="18" customHeight="1" x14ac:dyDescent="0.2">
      <c r="A80" s="10" t="s">
        <v>287</v>
      </c>
      <c r="B80" s="31" t="s">
        <v>309</v>
      </c>
      <c r="C80" s="10" t="s">
        <v>315</v>
      </c>
      <c r="D80" s="10" t="s">
        <v>293</v>
      </c>
      <c r="E80" s="11"/>
      <c r="F80" s="10" t="s">
        <v>336</v>
      </c>
      <c r="G80" s="10"/>
      <c r="H80" s="10"/>
      <c r="I80" s="10"/>
    </row>
    <row r="81" spans="1:9" ht="18" customHeight="1" x14ac:dyDescent="0.2">
      <c r="A81" s="10" t="s">
        <v>287</v>
      </c>
      <c r="B81" s="31" t="s">
        <v>309</v>
      </c>
      <c r="C81" s="10" t="s">
        <v>316</v>
      </c>
      <c r="D81" s="10" t="s">
        <v>294</v>
      </c>
      <c r="E81" s="11"/>
      <c r="F81" s="10" t="s">
        <v>337</v>
      </c>
      <c r="G81" s="10"/>
      <c r="H81" s="10"/>
      <c r="I81" s="10"/>
    </row>
    <row r="82" spans="1:9" ht="18" customHeight="1" x14ac:dyDescent="0.2">
      <c r="A82" s="10" t="s">
        <v>287</v>
      </c>
      <c r="B82" s="31" t="s">
        <v>309</v>
      </c>
      <c r="C82" s="10" t="s">
        <v>317</v>
      </c>
      <c r="D82" s="10" t="s">
        <v>295</v>
      </c>
      <c r="E82" s="11"/>
      <c r="F82" s="10" t="s">
        <v>338</v>
      </c>
      <c r="G82" s="10"/>
      <c r="H82" s="10"/>
      <c r="I82" s="10"/>
    </row>
    <row r="83" spans="1:9" ht="18" customHeight="1" x14ac:dyDescent="0.2">
      <c r="A83" s="10" t="s">
        <v>287</v>
      </c>
      <c r="B83" s="31" t="s">
        <v>309</v>
      </c>
      <c r="C83" s="10" t="s">
        <v>318</v>
      </c>
      <c r="D83" s="10" t="s">
        <v>296</v>
      </c>
      <c r="E83" s="11"/>
      <c r="F83" s="10" t="s">
        <v>339</v>
      </c>
      <c r="G83" s="10"/>
      <c r="H83" s="10"/>
      <c r="I83" s="10"/>
    </row>
    <row r="84" spans="1:9" ht="18" customHeight="1" x14ac:dyDescent="0.2">
      <c r="A84" s="10" t="s">
        <v>287</v>
      </c>
      <c r="B84" s="31" t="s">
        <v>309</v>
      </c>
      <c r="C84" s="10" t="s">
        <v>319</v>
      </c>
      <c r="D84" s="10" t="s">
        <v>297</v>
      </c>
      <c r="E84" s="11"/>
      <c r="F84" s="10" t="s">
        <v>340</v>
      </c>
      <c r="G84" s="10"/>
      <c r="H84" s="10"/>
      <c r="I84" s="10"/>
    </row>
    <row r="85" spans="1:9" ht="18" customHeight="1" x14ac:dyDescent="0.2">
      <c r="A85" s="10" t="s">
        <v>287</v>
      </c>
      <c r="B85" s="31" t="s">
        <v>309</v>
      </c>
      <c r="C85" s="10" t="s">
        <v>320</v>
      </c>
      <c r="D85" s="10" t="s">
        <v>298</v>
      </c>
      <c r="E85" s="11"/>
      <c r="F85" s="10" t="s">
        <v>341</v>
      </c>
      <c r="G85" s="10"/>
      <c r="H85" s="10"/>
      <c r="I85" s="10"/>
    </row>
    <row r="86" spans="1:9" ht="18" customHeight="1" x14ac:dyDescent="0.2">
      <c r="A86" s="10" t="s">
        <v>287</v>
      </c>
      <c r="B86" s="31" t="s">
        <v>309</v>
      </c>
      <c r="C86" s="10" t="s">
        <v>321</v>
      </c>
      <c r="D86" s="10" t="s">
        <v>299</v>
      </c>
      <c r="E86" s="11"/>
      <c r="F86" s="10" t="s">
        <v>342</v>
      </c>
      <c r="G86" s="10"/>
      <c r="H86" s="10"/>
      <c r="I86" s="10"/>
    </row>
    <row r="87" spans="1:9" ht="18" customHeight="1" x14ac:dyDescent="0.2">
      <c r="A87" s="10" t="s">
        <v>287</v>
      </c>
      <c r="B87" s="31" t="s">
        <v>309</v>
      </c>
      <c r="C87" s="10" t="s">
        <v>322</v>
      </c>
      <c r="D87" s="10" t="s">
        <v>300</v>
      </c>
      <c r="E87" s="11"/>
      <c r="F87" s="10" t="s">
        <v>343</v>
      </c>
      <c r="G87" s="10"/>
      <c r="H87" s="10"/>
      <c r="I87" s="10"/>
    </row>
    <row r="88" spans="1:9" ht="18" customHeight="1" x14ac:dyDescent="0.2">
      <c r="A88" s="10" t="s">
        <v>287</v>
      </c>
      <c r="B88" s="31" t="s">
        <v>309</v>
      </c>
      <c r="C88" s="10" t="s">
        <v>354</v>
      </c>
      <c r="D88" s="10" t="s">
        <v>353</v>
      </c>
      <c r="E88" s="11"/>
      <c r="F88" s="10" t="s">
        <v>344</v>
      </c>
      <c r="G88" s="10"/>
      <c r="H88" s="10"/>
      <c r="I88" s="10"/>
    </row>
    <row r="89" spans="1:9" ht="18" customHeight="1" x14ac:dyDescent="0.2">
      <c r="A89" s="10" t="s">
        <v>287</v>
      </c>
      <c r="B89" s="31" t="s">
        <v>309</v>
      </c>
      <c r="C89" s="10" t="s">
        <v>323</v>
      </c>
      <c r="D89" s="10" t="s">
        <v>301</v>
      </c>
      <c r="E89" s="11"/>
      <c r="F89" s="10" t="s">
        <v>345</v>
      </c>
      <c r="G89" s="10"/>
      <c r="H89" s="10"/>
      <c r="I89" s="10"/>
    </row>
    <row r="90" spans="1:9" ht="18" customHeight="1" x14ac:dyDescent="0.2">
      <c r="A90" s="10" t="s">
        <v>287</v>
      </c>
      <c r="B90" s="31" t="s">
        <v>309</v>
      </c>
      <c r="C90" s="10" t="s">
        <v>324</v>
      </c>
      <c r="D90" s="10" t="s">
        <v>302</v>
      </c>
      <c r="E90" s="11"/>
      <c r="F90" s="10" t="s">
        <v>346</v>
      </c>
      <c r="G90" s="10"/>
      <c r="H90" s="10"/>
      <c r="I90" s="10"/>
    </row>
    <row r="91" spans="1:9" ht="18" customHeight="1" x14ac:dyDescent="0.2">
      <c r="A91" s="10" t="s">
        <v>287</v>
      </c>
      <c r="B91" s="31" t="s">
        <v>309</v>
      </c>
      <c r="C91" s="10" t="s">
        <v>325</v>
      </c>
      <c r="D91" s="10" t="s">
        <v>303</v>
      </c>
      <c r="E91" s="11"/>
      <c r="F91" s="10" t="s">
        <v>347</v>
      </c>
      <c r="G91" s="10"/>
      <c r="H91" s="10"/>
      <c r="I91" s="10"/>
    </row>
    <row r="92" spans="1:9" ht="18" customHeight="1" x14ac:dyDescent="0.2">
      <c r="A92" s="10" t="s">
        <v>287</v>
      </c>
      <c r="B92" s="31" t="s">
        <v>309</v>
      </c>
      <c r="C92" s="10" t="s">
        <v>326</v>
      </c>
      <c r="D92" s="10" t="s">
        <v>304</v>
      </c>
      <c r="E92" s="11"/>
      <c r="F92" s="10" t="s">
        <v>348</v>
      </c>
      <c r="G92" s="10"/>
      <c r="H92" s="10"/>
      <c r="I92" s="10"/>
    </row>
    <row r="93" spans="1:9" ht="18" customHeight="1" x14ac:dyDescent="0.2">
      <c r="A93" s="10" t="s">
        <v>287</v>
      </c>
      <c r="B93" s="31" t="s">
        <v>309</v>
      </c>
      <c r="C93" s="10" t="s">
        <v>327</v>
      </c>
      <c r="D93" s="10" t="s">
        <v>305</v>
      </c>
      <c r="E93" s="11"/>
      <c r="F93" s="10" t="s">
        <v>349</v>
      </c>
      <c r="G93" s="10"/>
      <c r="H93" s="10"/>
      <c r="I93" s="10"/>
    </row>
    <row r="94" spans="1:9" ht="18" customHeight="1" x14ac:dyDescent="0.2">
      <c r="A94" s="10" t="s">
        <v>287</v>
      </c>
      <c r="B94" s="31" t="s">
        <v>309</v>
      </c>
      <c r="C94" s="10" t="s">
        <v>328</v>
      </c>
      <c r="D94" s="10" t="s">
        <v>306</v>
      </c>
      <c r="E94" s="11"/>
      <c r="F94" s="10" t="s">
        <v>350</v>
      </c>
      <c r="G94" s="10"/>
      <c r="H94" s="10"/>
      <c r="I94" s="10"/>
    </row>
    <row r="95" spans="1:9" ht="18" customHeight="1" x14ac:dyDescent="0.2">
      <c r="A95" s="10" t="s">
        <v>287</v>
      </c>
      <c r="B95" s="31" t="s">
        <v>309</v>
      </c>
      <c r="C95" s="10" t="s">
        <v>329</v>
      </c>
      <c r="D95" s="10" t="s">
        <v>307</v>
      </c>
      <c r="E95" s="11"/>
      <c r="F95" s="10" t="s">
        <v>351</v>
      </c>
      <c r="G95" s="10"/>
      <c r="H95" s="10"/>
      <c r="I95" s="10"/>
    </row>
    <row r="96" spans="1:9" ht="18" customHeight="1" x14ac:dyDescent="0.2">
      <c r="A96" s="10" t="s">
        <v>287</v>
      </c>
      <c r="B96" s="31" t="s">
        <v>309</v>
      </c>
      <c r="C96" s="10" t="s">
        <v>330</v>
      </c>
      <c r="D96" s="10" t="s">
        <v>308</v>
      </c>
      <c r="E96" s="11"/>
      <c r="F96" s="10" t="s">
        <v>352</v>
      </c>
      <c r="G96" s="10"/>
      <c r="H96" s="10"/>
      <c r="I96" s="10"/>
    </row>
    <row r="97" spans="1:9" ht="18" customHeight="1" x14ac:dyDescent="0.2">
      <c r="A97" s="10"/>
      <c r="B97" s="10"/>
      <c r="C97" s="10"/>
      <c r="D97" s="10"/>
      <c r="E97" s="11"/>
      <c r="F97" s="10"/>
      <c r="G97" s="10"/>
      <c r="H97" s="10"/>
      <c r="I97" s="10"/>
    </row>
    <row r="98" spans="1:9" ht="18" customHeight="1" x14ac:dyDescent="0.2">
      <c r="A98" s="10"/>
      <c r="B98" s="10"/>
      <c r="C98" s="10"/>
      <c r="D98" s="10"/>
      <c r="E98" s="11"/>
      <c r="F98" s="1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10"/>
      <c r="B102" s="10"/>
      <c r="C102" s="10"/>
      <c r="D102" s="10"/>
      <c r="E102" s="11"/>
      <c r="F102" s="10"/>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row r="465" spans="1:9" ht="18" customHeight="1" x14ac:dyDescent="0.2">
      <c r="A465" s="10"/>
      <c r="B465" s="10"/>
      <c r="C465" s="10"/>
      <c r="D465" s="10"/>
      <c r="E465" s="11"/>
      <c r="F465" s="10"/>
      <c r="G465" s="10"/>
      <c r="H465" s="10"/>
      <c r="I465" s="10"/>
    </row>
    <row r="466" spans="1:9" ht="18" customHeight="1" x14ac:dyDescent="0.2">
      <c r="A466" s="10"/>
      <c r="B466" s="10"/>
      <c r="C466" s="10"/>
      <c r="D466" s="10"/>
      <c r="E466" s="11"/>
      <c r="F466" s="10"/>
      <c r="G466" s="10"/>
      <c r="H466" s="10"/>
      <c r="I466" s="10"/>
    </row>
  </sheetData>
  <autoFilter ref="A3:H73" xr:uid="{9C28E00E-089B-46EB-BE93-DC9F3E3AD7D8}">
    <sortState xmlns:xlrd2="http://schemas.microsoft.com/office/spreadsheetml/2017/richdata2" ref="A4:H73">
      <sortCondition ref="A3:A73"/>
    </sortState>
  </autoFilter>
  <hyperlinks>
    <hyperlink ref="F39" r:id="rId1" xr:uid="{A9F344CD-61A9-4193-B484-7291C58E5C20}"/>
    <hyperlink ref="F45" r:id="rId2" xr:uid="{C4243C3C-4F20-4C8F-AF88-2EEABF9CCE70}"/>
    <hyperlink ref="G40" r:id="rId3" xr:uid="{1E438683-0D5A-48AB-AF12-E7E3E0367EB0}"/>
    <hyperlink ref="F40" r:id="rId4" xr:uid="{9C5235CD-979A-4635-8291-476B781A7A09}"/>
    <hyperlink ref="F36" r:id="rId5" xr:uid="{4A48C469-D08D-4971-9FF7-A83364CB5DA9}"/>
    <hyperlink ref="F51" r:id="rId6" xr:uid="{3E2A8ED1-9AE9-4501-98C1-2679AE79041E}"/>
    <hyperlink ref="F54" r:id="rId7" xr:uid="{81118629-A4DE-4441-848C-37CF983AB8CF}"/>
    <hyperlink ref="F49" r:id="rId8" xr:uid="{C86299D4-85C2-4E3D-B230-7CE21DAEB261}"/>
    <hyperlink ref="F46" r:id="rId9" xr:uid="{55B71DE5-F7F0-4076-84C3-EE163E6D80FF}"/>
    <hyperlink ref="F47" r:id="rId10" xr:uid="{D463BEE5-0E12-488F-AEDB-68DF80057E65}"/>
    <hyperlink ref="F52" r:id="rId11" xr:uid="{41E579B9-F5B9-412A-8739-E2D09958137B}"/>
    <hyperlink ref="F55" r:id="rId12" xr:uid="{3808F15E-60BD-423E-AC89-76809464BFCA}"/>
    <hyperlink ref="F50" r:id="rId13" xr:uid="{95F8BE80-2003-4D03-B832-3ACD2307C2C1}"/>
    <hyperlink ref="F53" r:id="rId14" xr:uid="{95053702-E44C-4293-AFD2-F6F365926CAE}"/>
    <hyperlink ref="F48" r:id="rId15" xr:uid="{0C00780F-95DD-4F02-8160-205283469DA8}"/>
    <hyperlink ref="F44" r:id="rId16" xr:uid="{1045B838-DFFD-44ED-AA20-DB07B19C2A4F}"/>
    <hyperlink ref="F8" r:id="rId17" display="https://axians.topdesk.net/tas/secure/incident?action=lookup&amp;lookup=naam&amp;lookupValue=REPLACEME" xr:uid="{E287A3AF-A871-4EBD-913D-8168D88C57E4}"/>
    <hyperlink ref="F10" r:id="rId18" xr:uid="{88FDA7FC-0059-4751-AC16-72D6E80A8F10}"/>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G4" sqref="G4:L25"/>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285</v>
      </c>
      <c r="B2" t="s">
        <v>286</v>
      </c>
    </row>
    <row r="3" spans="1:12" x14ac:dyDescent="0.25">
      <c r="A3" t="s">
        <v>284</v>
      </c>
    </row>
    <row r="4" spans="1:12" x14ac:dyDescent="0.25">
      <c r="B4" t="s">
        <v>239</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287</v>
      </c>
      <c r="H4" t="s">
        <v>309</v>
      </c>
      <c r="I4" t="str">
        <f>"ep " &amp; LOWER(LEFT(F4,3))</f>
        <v>ep wor</v>
      </c>
      <c r="J4" t="str">
        <f>"Edge pr. " &amp;F4</f>
        <v>Edge pr. Work</v>
      </c>
      <c r="L4" t="str">
        <f>"tryrun('msedge.exe --profile-directory="""&amp;E4&amp;"""')"</f>
        <v>tryrun('msedge.exe --profile-directory="Default"')</v>
      </c>
    </row>
    <row r="5" spans="1:12" x14ac:dyDescent="0.25">
      <c r="B5" t="s">
        <v>240</v>
      </c>
      <c r="E5" t="str">
        <v>Profile 1</v>
      </c>
      <c r="F5" t="str">
        <v>Personal</v>
      </c>
      <c r="G5" t="s">
        <v>287</v>
      </c>
      <c r="H5" t="s">
        <v>309</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287</v>
      </c>
      <c r="H6" t="s">
        <v>309</v>
      </c>
      <c r="I6" t="str">
        <f t="shared" si="0"/>
        <v>ep nlo</v>
      </c>
      <c r="J6" t="str">
        <f t="shared" si="1"/>
        <v>Edge pr. NLO</v>
      </c>
      <c r="L6" t="str">
        <f t="shared" si="2"/>
        <v>tryrun('msedge.exe --profile-directory="Profile 11"')</v>
      </c>
    </row>
    <row r="7" spans="1:12" x14ac:dyDescent="0.25">
      <c r="B7" t="s">
        <v>241</v>
      </c>
      <c r="C7" t="str" cm="1">
        <f t="array" ref="C7">IF(ISNUMBER(SEARCH("\",B7)),INDEX(_xlfn.TEXTSPLIT(B7,"\"),6),"")</f>
        <v>Profile 1</v>
      </c>
      <c r="D7" t="str" cm="1">
        <f t="array" ref="D7">IF(ISBLANK(B8),"",INDEX(_xlfn.TEXTSPLIT(B8,"    "),4))</f>
        <v>Personal</v>
      </c>
      <c r="E7" t="str">
        <v>Profile 12</v>
      </c>
      <c r="F7" t="str">
        <v>BPD</v>
      </c>
      <c r="G7" t="s">
        <v>287</v>
      </c>
      <c r="H7" t="s">
        <v>309</v>
      </c>
      <c r="I7" t="str">
        <f t="shared" si="0"/>
        <v>ep bpd</v>
      </c>
      <c r="J7" t="str">
        <f t="shared" si="1"/>
        <v>Edge pr. BPD</v>
      </c>
      <c r="L7" t="str">
        <f t="shared" si="2"/>
        <v>tryrun('msedge.exe --profile-directory="Profile 12"')</v>
      </c>
    </row>
    <row r="8" spans="1:12" x14ac:dyDescent="0.25">
      <c r="B8" t="s">
        <v>242</v>
      </c>
      <c r="E8" t="str">
        <v>Profile 13</v>
      </c>
      <c r="F8" t="str">
        <v>DAK</v>
      </c>
      <c r="G8" t="s">
        <v>287</v>
      </c>
      <c r="H8" t="s">
        <v>309</v>
      </c>
      <c r="I8" t="str">
        <f t="shared" si="0"/>
        <v>ep dak</v>
      </c>
      <c r="J8" t="str">
        <f t="shared" si="1"/>
        <v>Edge pr. DAK</v>
      </c>
      <c r="L8" t="str">
        <f t="shared" si="2"/>
        <v>tryrun('msedge.exe --profile-directory="Profile 13"')</v>
      </c>
    </row>
    <row r="9" spans="1:12" x14ac:dyDescent="0.25">
      <c r="E9" t="str">
        <v>Profile 14</v>
      </c>
      <c r="F9" t="str">
        <v>Fleet (Support vened)</v>
      </c>
      <c r="G9" t="s">
        <v>287</v>
      </c>
      <c r="H9" t="s">
        <v>309</v>
      </c>
      <c r="I9" t="str">
        <f t="shared" si="0"/>
        <v>ep fle</v>
      </c>
      <c r="J9" t="str">
        <f t="shared" si="1"/>
        <v>Edge pr. Fleet (Support vened)</v>
      </c>
      <c r="L9" t="str">
        <f t="shared" si="2"/>
        <v>tryrun('msedge.exe --profile-directory="Profile 14"')</v>
      </c>
    </row>
    <row r="10" spans="1:12" x14ac:dyDescent="0.25">
      <c r="B10" t="s">
        <v>243</v>
      </c>
      <c r="C10" t="str" cm="1">
        <f t="array" ref="C10">IF(ISNUMBER(SEARCH("\",B10)),INDEX(_xlfn.TEXTSPLIT(B10,"\"),6),"")</f>
        <v>Profile 11</v>
      </c>
      <c r="D10" t="str" cm="1">
        <f t="array" ref="D10">IF(ISBLANK(B11),"",INDEX(_xlfn.TEXTSPLIT(B11,"    "),4))</f>
        <v>NLO</v>
      </c>
      <c r="E10" t="str">
        <v>Profile 15</v>
      </c>
      <c r="F10" t="str">
        <v>Zabbix admin</v>
      </c>
      <c r="G10" t="s">
        <v>287</v>
      </c>
      <c r="H10" t="s">
        <v>309</v>
      </c>
      <c r="I10" t="str">
        <f t="shared" si="0"/>
        <v>ep zab</v>
      </c>
      <c r="J10" t="str">
        <f t="shared" si="1"/>
        <v>Edge pr. Zabbix admin</v>
      </c>
      <c r="L10" t="str">
        <f t="shared" si="2"/>
        <v>tryrun('msedge.exe --profile-directory="Profile 15"')</v>
      </c>
    </row>
    <row r="11" spans="1:12" x14ac:dyDescent="0.25">
      <c r="B11" t="s">
        <v>244</v>
      </c>
      <c r="E11" t="str">
        <v>Profile 16</v>
      </c>
      <c r="F11" t="str">
        <v>Indigo</v>
      </c>
      <c r="G11" t="s">
        <v>287</v>
      </c>
      <c r="H11" t="s">
        <v>309</v>
      </c>
      <c r="I11" t="str">
        <f t="shared" si="0"/>
        <v>ep ind</v>
      </c>
      <c r="J11" t="str">
        <f t="shared" si="1"/>
        <v>Edge pr. Indigo</v>
      </c>
      <c r="L11" t="str">
        <f t="shared" si="2"/>
        <v>tryrun('msedge.exe --profile-directory="Profile 16"')</v>
      </c>
    </row>
    <row r="12" spans="1:12" x14ac:dyDescent="0.25">
      <c r="E12" t="str">
        <v>Profile 17</v>
      </c>
      <c r="F12" t="str">
        <v>Itho</v>
      </c>
      <c r="G12" t="s">
        <v>287</v>
      </c>
      <c r="H12" t="s">
        <v>309</v>
      </c>
      <c r="I12" t="str">
        <f t="shared" si="0"/>
        <v>ep ith</v>
      </c>
      <c r="J12" t="str">
        <f t="shared" si="1"/>
        <v>Edge pr. Itho</v>
      </c>
      <c r="L12" t="str">
        <f t="shared" si="2"/>
        <v>tryrun('msedge.exe --profile-directory="Profile 17"')</v>
      </c>
    </row>
    <row r="13" spans="1:12" x14ac:dyDescent="0.25">
      <c r="B13" t="s">
        <v>245</v>
      </c>
      <c r="C13" t="str" cm="1">
        <f t="array" ref="C13">IF(ISNUMBER(SEARCH("\",B13)),INDEX(_xlfn.TEXTSPLIT(B13,"\"),6),"")</f>
        <v>Profile 12</v>
      </c>
      <c r="D13" t="str" cm="1">
        <f t="array" ref="D13">IF(ISBLANK(B14),"",INDEX(_xlfn.TEXTSPLIT(B14,"    "),4))</f>
        <v>BPD</v>
      </c>
      <c r="E13" t="str">
        <v>Profile 18</v>
      </c>
      <c r="F13" t="str">
        <v>Buas</v>
      </c>
      <c r="G13" t="s">
        <v>287</v>
      </c>
      <c r="H13" t="s">
        <v>309</v>
      </c>
      <c r="I13" t="str">
        <f t="shared" si="0"/>
        <v>ep bua</v>
      </c>
      <c r="J13" t="str">
        <f t="shared" si="1"/>
        <v>Edge pr. Buas</v>
      </c>
      <c r="L13" t="str">
        <f t="shared" si="2"/>
        <v>tryrun('msedge.exe --profile-directory="Profile 18"')</v>
      </c>
    </row>
    <row r="14" spans="1:12" x14ac:dyDescent="0.25">
      <c r="B14" t="s">
        <v>246</v>
      </c>
      <c r="E14" t="str">
        <v>Profile 2</v>
      </c>
      <c r="F14" t="str">
        <v>Eikelkamp</v>
      </c>
      <c r="G14" t="s">
        <v>287</v>
      </c>
      <c r="H14" t="s">
        <v>309</v>
      </c>
      <c r="I14" t="str">
        <f t="shared" si="0"/>
        <v>ep eik</v>
      </c>
      <c r="J14" t="str">
        <f t="shared" si="1"/>
        <v>Edge pr. Eikelkamp</v>
      </c>
      <c r="L14" t="str">
        <f t="shared" si="2"/>
        <v>tryrun('msedge.exe --profile-directory="Profile 2"')</v>
      </c>
    </row>
    <row r="15" spans="1:12" x14ac:dyDescent="0.25">
      <c r="E15" t="str">
        <v>Profile 20</v>
      </c>
      <c r="F15" t="str">
        <v>Vion</v>
      </c>
      <c r="G15" t="s">
        <v>287</v>
      </c>
      <c r="H15" t="s">
        <v>309</v>
      </c>
      <c r="I15" t="str">
        <f t="shared" si="0"/>
        <v>ep vio</v>
      </c>
      <c r="J15" t="str">
        <f t="shared" si="1"/>
        <v>Edge pr. Vion</v>
      </c>
      <c r="L15" t="str">
        <f t="shared" si="2"/>
        <v>tryrun('msedge.exe --profile-directory="Profile 20"')</v>
      </c>
    </row>
    <row r="16" spans="1:12" x14ac:dyDescent="0.25">
      <c r="B16" t="s">
        <v>247</v>
      </c>
      <c r="C16" t="str" cm="1">
        <f t="array" ref="C16">IF(ISNUMBER(SEARCH("\",B16)),INDEX(_xlfn.TEXTSPLIT(B16,"\"),6),"")</f>
        <v>Profile 13</v>
      </c>
      <c r="D16" t="str" cm="1">
        <f t="array" ref="D16">IF(ISBLANK(B17),"",INDEX(_xlfn.TEXTSPLIT(B17,"    "),4))</f>
        <v>DAK</v>
      </c>
      <c r="E16" t="str">
        <v>Profile 21</v>
      </c>
      <c r="F16" t="str">
        <v>Foundation</v>
      </c>
      <c r="G16" t="s">
        <v>287</v>
      </c>
      <c r="H16" t="s">
        <v>309</v>
      </c>
      <c r="I16" t="str">
        <f t="shared" si="0"/>
        <v>ep fou</v>
      </c>
      <c r="J16" t="str">
        <f t="shared" si="1"/>
        <v>Edge pr. Foundation</v>
      </c>
      <c r="L16" t="str">
        <f t="shared" si="2"/>
        <v>tryrun('msedge.exe --profile-directory="Profile 21"')</v>
      </c>
    </row>
    <row r="17" spans="2:12" x14ac:dyDescent="0.25">
      <c r="B17" t="s">
        <v>248</v>
      </c>
      <c r="E17" t="str">
        <v>Profile 22</v>
      </c>
      <c r="F17" t="str">
        <v>Personal VENED</v>
      </c>
      <c r="G17" t="s">
        <v>287</v>
      </c>
      <c r="H17" t="s">
        <v>309</v>
      </c>
      <c r="I17" t="str">
        <f t="shared" si="0"/>
        <v>ep per</v>
      </c>
      <c r="J17" t="str">
        <f t="shared" si="1"/>
        <v>Edge pr. Personal VENED</v>
      </c>
      <c r="L17" t="str">
        <f t="shared" si="2"/>
        <v>tryrun('msedge.exe --profile-directory="Profile 22"')</v>
      </c>
    </row>
    <row r="18" spans="2:12" x14ac:dyDescent="0.25">
      <c r="E18" t="str">
        <v>Profile 23</v>
      </c>
      <c r="F18" t="str">
        <v>Synerlogic azure</v>
      </c>
      <c r="G18" t="s">
        <v>287</v>
      </c>
      <c r="H18" t="s">
        <v>309</v>
      </c>
      <c r="I18" t="str">
        <f t="shared" si="0"/>
        <v>ep syn</v>
      </c>
      <c r="J18" t="str">
        <f t="shared" si="1"/>
        <v>Edge pr. Synerlogic azure</v>
      </c>
      <c r="L18" t="str">
        <f t="shared" si="2"/>
        <v>tryrun('msedge.exe --profile-directory="Profile 23"')</v>
      </c>
    </row>
    <row r="19" spans="2:12" x14ac:dyDescent="0.25">
      <c r="B19" t="s">
        <v>249</v>
      </c>
      <c r="C19" t="str" cm="1">
        <f t="array" ref="C19">IF(ISNUMBER(SEARCH("\",B19)),INDEX(_xlfn.TEXTSPLIT(B19,"\"),6),"")</f>
        <v>Profile 14</v>
      </c>
      <c r="D19" t="str" cm="1">
        <f t="array" ref="D19">IF(ISBLANK(B20),"",INDEX(_xlfn.TEXTSPLIT(B20,"    "),4))</f>
        <v>Fleet (Support vened)</v>
      </c>
      <c r="E19" t="str">
        <v>Profile 24</v>
      </c>
      <c r="F19" t="str">
        <v>AxiansPS</v>
      </c>
      <c r="G19" t="s">
        <v>287</v>
      </c>
      <c r="H19" t="s">
        <v>309</v>
      </c>
      <c r="I19" t="str">
        <f t="shared" si="0"/>
        <v>ep axi</v>
      </c>
      <c r="J19" t="str">
        <f t="shared" si="1"/>
        <v>Edge pr. AxiansPS</v>
      </c>
      <c r="L19" t="str">
        <f t="shared" si="2"/>
        <v>tryrun('msedge.exe --profile-directory="Profile 24"')</v>
      </c>
    </row>
    <row r="20" spans="2:12" x14ac:dyDescent="0.25">
      <c r="B20" t="s">
        <v>250</v>
      </c>
      <c r="E20" t="str">
        <v>Profile 3</v>
      </c>
      <c r="F20" t="str">
        <v>Mediq</v>
      </c>
      <c r="G20" t="s">
        <v>287</v>
      </c>
      <c r="H20" t="s">
        <v>309</v>
      </c>
      <c r="I20" t="str">
        <f t="shared" si="0"/>
        <v>ep med</v>
      </c>
      <c r="J20" t="str">
        <f t="shared" si="1"/>
        <v>Edge pr. Mediq</v>
      </c>
      <c r="L20" t="str">
        <f t="shared" si="2"/>
        <v>tryrun('msedge.exe --profile-directory="Profile 3"')</v>
      </c>
    </row>
    <row r="21" spans="2:12" x14ac:dyDescent="0.25">
      <c r="E21" t="str">
        <v>Profile 4</v>
      </c>
      <c r="F21" t="str">
        <v>Support vinci</v>
      </c>
      <c r="G21" t="s">
        <v>287</v>
      </c>
      <c r="H21" t="s">
        <v>309</v>
      </c>
      <c r="I21" t="str">
        <f t="shared" si="0"/>
        <v>ep sup</v>
      </c>
      <c r="J21" t="str">
        <f t="shared" si="1"/>
        <v>Edge pr. Support vinci</v>
      </c>
      <c r="L21" t="str">
        <f t="shared" si="2"/>
        <v>tryrun('msedge.exe --profile-directory="Profile 4"')</v>
      </c>
    </row>
    <row r="22" spans="2:12" x14ac:dyDescent="0.25">
      <c r="B22" t="s">
        <v>251</v>
      </c>
      <c r="C22" t="str" cm="1">
        <f t="array" ref="C22">IF(ISNUMBER(SEARCH("\",B22)),INDEX(_xlfn.TEXTSPLIT(B22,"\"),6),"")</f>
        <v>Profile 15</v>
      </c>
      <c r="D22" t="str" cm="1">
        <f t="array" ref="D22">IF(ISBLANK(B23),"",INDEX(_xlfn.TEXTSPLIT(B23,"    "),4))</f>
        <v>Zabbix admin</v>
      </c>
      <c r="E22" t="str">
        <v>Profile 5</v>
      </c>
      <c r="F22" t="str">
        <v>Emergis</v>
      </c>
      <c r="G22" t="s">
        <v>287</v>
      </c>
      <c r="H22" t="s">
        <v>309</v>
      </c>
      <c r="I22" t="str">
        <f t="shared" si="0"/>
        <v>ep eme</v>
      </c>
      <c r="J22" t="str">
        <f t="shared" si="1"/>
        <v>Edge pr. Emergis</v>
      </c>
      <c r="L22" t="str">
        <f t="shared" si="2"/>
        <v>tryrun('msedge.exe --profile-directory="Profile 5"')</v>
      </c>
    </row>
    <row r="23" spans="2:12" x14ac:dyDescent="0.25">
      <c r="B23" t="s">
        <v>252</v>
      </c>
      <c r="E23" t="str">
        <v>Profile 6</v>
      </c>
      <c r="F23" t="str">
        <v>Burg</v>
      </c>
      <c r="G23" t="s">
        <v>287</v>
      </c>
      <c r="H23" t="s">
        <v>309</v>
      </c>
      <c r="I23" t="str">
        <f t="shared" si="0"/>
        <v>ep bur</v>
      </c>
      <c r="J23" t="str">
        <f t="shared" si="1"/>
        <v>Edge pr. Burg</v>
      </c>
      <c r="L23" t="str">
        <f t="shared" si="2"/>
        <v>tryrun('msedge.exe --profile-directory="Profile 6"')</v>
      </c>
    </row>
    <row r="24" spans="2:12" x14ac:dyDescent="0.25">
      <c r="E24" t="str">
        <v>Profile 7</v>
      </c>
      <c r="F24" t="str">
        <v>ODF</v>
      </c>
      <c r="G24" t="s">
        <v>287</v>
      </c>
      <c r="H24" t="s">
        <v>309</v>
      </c>
      <c r="I24" t="str">
        <f t="shared" si="0"/>
        <v>ep odf</v>
      </c>
      <c r="J24" t="str">
        <f t="shared" si="1"/>
        <v>Edge pr. ODF</v>
      </c>
      <c r="L24" t="str">
        <f t="shared" si="2"/>
        <v>tryrun('msedge.exe --profile-directory="Profile 7"')</v>
      </c>
    </row>
    <row r="25" spans="2:12" x14ac:dyDescent="0.25">
      <c r="B25" t="s">
        <v>253</v>
      </c>
      <c r="C25" t="str" cm="1">
        <f t="array" ref="C25">IF(ISNUMBER(SEARCH("\",B25)),INDEX(_xlfn.TEXTSPLIT(B25,"\"),6),"")</f>
        <v>Profile 16</v>
      </c>
      <c r="D25" t="str" cm="1">
        <f t="array" ref="D25">IF(ISBLANK(B26),"",INDEX(_xlfn.TEXTSPLIT(B26,"    "),4))</f>
        <v>Indigo</v>
      </c>
      <c r="E25" t="str">
        <v>Profile 8</v>
      </c>
      <c r="F25" t="str">
        <v>Kiwa</v>
      </c>
      <c r="G25" t="s">
        <v>287</v>
      </c>
      <c r="H25" t="s">
        <v>309</v>
      </c>
      <c r="I25" t="str">
        <f t="shared" si="0"/>
        <v>ep kiw</v>
      </c>
      <c r="J25" t="str">
        <f t="shared" si="1"/>
        <v>Edge pr. Kiwa</v>
      </c>
      <c r="L25" t="str">
        <f t="shared" si="2"/>
        <v>tryrun('msedge.exe --profile-directory="Profile 8"')</v>
      </c>
    </row>
    <row r="26" spans="2:12" x14ac:dyDescent="0.25">
      <c r="B26" t="s">
        <v>254</v>
      </c>
      <c r="G26" t="s">
        <v>287</v>
      </c>
      <c r="H26" t="s">
        <v>309</v>
      </c>
      <c r="I26" t="str">
        <f t="shared" si="0"/>
        <v xml:space="preserve">ep </v>
      </c>
      <c r="J26" t="str">
        <f t="shared" si="1"/>
        <v xml:space="preserve">Edge pr. </v>
      </c>
      <c r="L26" t="str">
        <f t="shared" si="2"/>
        <v>tryrun('msedge.exe --profile-directory=""')</v>
      </c>
    </row>
    <row r="27" spans="2:12" x14ac:dyDescent="0.25">
      <c r="G27" t="s">
        <v>287</v>
      </c>
      <c r="H27" t="s">
        <v>309</v>
      </c>
      <c r="I27" t="str">
        <f t="shared" si="0"/>
        <v xml:space="preserve">ep </v>
      </c>
      <c r="J27" t="str">
        <f t="shared" si="1"/>
        <v xml:space="preserve">Edge pr. </v>
      </c>
      <c r="L27" t="str">
        <f t="shared" si="2"/>
        <v>tryrun('msedge.exe --profile-directory=""')</v>
      </c>
    </row>
    <row r="28" spans="2:12" x14ac:dyDescent="0.25">
      <c r="B28" t="s">
        <v>255</v>
      </c>
      <c r="C28" t="str" cm="1">
        <f t="array" ref="C28">IF(ISNUMBER(SEARCH("\",B28)),INDEX(_xlfn.TEXTSPLIT(B28,"\"),6),"")</f>
        <v>Profile 17</v>
      </c>
      <c r="D28" t="str" cm="1">
        <f t="array" ref="D28">IF(ISBLANK(B29),"",INDEX(_xlfn.TEXTSPLIT(B29,"    "),4))</f>
        <v>Itho</v>
      </c>
      <c r="G28" t="s">
        <v>287</v>
      </c>
      <c r="H28" t="s">
        <v>309</v>
      </c>
      <c r="I28" t="str">
        <f t="shared" si="0"/>
        <v xml:space="preserve">ep </v>
      </c>
      <c r="J28" t="str">
        <f t="shared" si="1"/>
        <v xml:space="preserve">Edge pr. </v>
      </c>
      <c r="L28" t="str">
        <f t="shared" si="2"/>
        <v>tryrun('msedge.exe --profile-directory=""')</v>
      </c>
    </row>
    <row r="29" spans="2:12" x14ac:dyDescent="0.25">
      <c r="B29" t="s">
        <v>256</v>
      </c>
      <c r="G29" t="s">
        <v>287</v>
      </c>
      <c r="H29" t="s">
        <v>309</v>
      </c>
      <c r="I29" t="str">
        <f t="shared" si="0"/>
        <v xml:space="preserve">ep </v>
      </c>
      <c r="J29" t="str">
        <f t="shared" si="1"/>
        <v xml:space="preserve">Edge pr. </v>
      </c>
      <c r="L29" t="str">
        <f t="shared" si="2"/>
        <v>tryrun('msedge.exe --profile-directory=""')</v>
      </c>
    </row>
    <row r="30" spans="2:12" x14ac:dyDescent="0.25">
      <c r="G30" t="s">
        <v>287</v>
      </c>
      <c r="H30" t="s">
        <v>309</v>
      </c>
      <c r="I30" t="str">
        <f t="shared" si="0"/>
        <v xml:space="preserve">ep </v>
      </c>
      <c r="J30" t="str">
        <f t="shared" si="1"/>
        <v xml:space="preserve">Edge pr. </v>
      </c>
      <c r="L30" t="str">
        <f t="shared" si="2"/>
        <v>tryrun('msedge.exe --profile-directory=""')</v>
      </c>
    </row>
    <row r="31" spans="2:12" x14ac:dyDescent="0.25">
      <c r="B31" t="s">
        <v>257</v>
      </c>
      <c r="C31" t="str" cm="1">
        <f t="array" ref="C31">IF(ISNUMBER(SEARCH("\",B31)),INDEX(_xlfn.TEXTSPLIT(B31,"\"),6),"")</f>
        <v>Profile 18</v>
      </c>
      <c r="D31" t="str" cm="1">
        <f t="array" ref="D31">IF(ISBLANK(B32),"",INDEX(_xlfn.TEXTSPLIT(B32,"    "),4))</f>
        <v>Buas</v>
      </c>
      <c r="G31" t="s">
        <v>287</v>
      </c>
      <c r="H31" t="s">
        <v>309</v>
      </c>
      <c r="I31" t="str">
        <f t="shared" si="0"/>
        <v xml:space="preserve">ep </v>
      </c>
      <c r="J31" t="str">
        <f t="shared" si="1"/>
        <v xml:space="preserve">Edge pr. </v>
      </c>
      <c r="L31" t="str">
        <f t="shared" si="2"/>
        <v>tryrun('msedge.exe --profile-directory=""')</v>
      </c>
    </row>
    <row r="32" spans="2:12" x14ac:dyDescent="0.25">
      <c r="B32" t="s">
        <v>258</v>
      </c>
      <c r="G32" t="s">
        <v>287</v>
      </c>
      <c r="H32" t="s">
        <v>309</v>
      </c>
      <c r="I32" t="str">
        <f t="shared" si="0"/>
        <v xml:space="preserve">ep </v>
      </c>
      <c r="J32" t="str">
        <f t="shared" si="1"/>
        <v xml:space="preserve">Edge pr. </v>
      </c>
      <c r="L32" t="str">
        <f t="shared" si="2"/>
        <v>tryrun('msedge.exe --profile-directory=""')</v>
      </c>
    </row>
    <row r="33" spans="2:12" x14ac:dyDescent="0.25">
      <c r="G33" t="s">
        <v>287</v>
      </c>
      <c r="H33" t="s">
        <v>309</v>
      </c>
      <c r="I33" t="str">
        <f t="shared" si="0"/>
        <v xml:space="preserve">ep </v>
      </c>
      <c r="J33" t="str">
        <f t="shared" si="1"/>
        <v xml:space="preserve">Edge pr. </v>
      </c>
      <c r="L33" t="str">
        <f t="shared" si="2"/>
        <v>tryrun('msedge.exe --profile-directory=""')</v>
      </c>
    </row>
    <row r="34" spans="2:12" x14ac:dyDescent="0.25">
      <c r="B34" t="s">
        <v>259</v>
      </c>
      <c r="C34" t="str" cm="1">
        <f t="array" ref="C34">IF(ISNUMBER(SEARCH("\",B34)),INDEX(_xlfn.TEXTSPLIT(B34,"\"),6),"")</f>
        <v>Profile 2</v>
      </c>
      <c r="D34" t="str" cm="1">
        <f t="array" ref="D34">IF(ISBLANK(B35),"",INDEX(_xlfn.TEXTSPLIT(B35,"    "),4))</f>
        <v>Eikelkamp</v>
      </c>
      <c r="G34" t="s">
        <v>287</v>
      </c>
      <c r="H34" t="s">
        <v>309</v>
      </c>
      <c r="I34" t="str">
        <f t="shared" si="0"/>
        <v xml:space="preserve">ep </v>
      </c>
      <c r="J34" t="str">
        <f t="shared" si="1"/>
        <v xml:space="preserve">Edge pr. </v>
      </c>
      <c r="L34" t="str">
        <f t="shared" si="2"/>
        <v>tryrun('msedge.exe --profile-directory=""')</v>
      </c>
    </row>
    <row r="35" spans="2:12" x14ac:dyDescent="0.25">
      <c r="B35" t="s">
        <v>260</v>
      </c>
      <c r="G35" t="s">
        <v>287</v>
      </c>
      <c r="H35" t="s">
        <v>309</v>
      </c>
      <c r="I35" t="str">
        <f t="shared" si="0"/>
        <v xml:space="preserve">ep </v>
      </c>
      <c r="J35" t="str">
        <f t="shared" si="1"/>
        <v xml:space="preserve">Edge pr. </v>
      </c>
      <c r="L35" t="str">
        <f t="shared" si="2"/>
        <v>tryrun('msedge.exe --profile-directory=""')</v>
      </c>
    </row>
    <row r="36" spans="2:12" x14ac:dyDescent="0.25">
      <c r="G36" t="s">
        <v>287</v>
      </c>
      <c r="H36" t="s">
        <v>309</v>
      </c>
      <c r="I36" t="str">
        <f t="shared" si="0"/>
        <v xml:space="preserve">ep </v>
      </c>
      <c r="J36" t="str">
        <f t="shared" si="1"/>
        <v xml:space="preserve">Edge pr. </v>
      </c>
      <c r="L36" t="str">
        <f t="shared" si="2"/>
        <v>tryrun('msedge.exe --profile-directory=""')</v>
      </c>
    </row>
    <row r="37" spans="2:12" x14ac:dyDescent="0.25">
      <c r="B37" t="s">
        <v>261</v>
      </c>
      <c r="C37" t="str" cm="1">
        <f t="array" ref="C37">IF(ISNUMBER(SEARCH("\",B37)),INDEX(_xlfn.TEXTSPLIT(B37,"\"),6),"")</f>
        <v>Profile 20</v>
      </c>
      <c r="D37" t="str" cm="1">
        <f t="array" ref="D37">IF(ISBLANK(B38),"",INDEX(_xlfn.TEXTSPLIT(B38,"    "),4))</f>
        <v>Vion</v>
      </c>
      <c r="G37" t="s">
        <v>287</v>
      </c>
      <c r="H37" t="s">
        <v>309</v>
      </c>
      <c r="I37" t="str">
        <f t="shared" si="0"/>
        <v xml:space="preserve">ep </v>
      </c>
      <c r="J37" t="str">
        <f t="shared" si="1"/>
        <v xml:space="preserve">Edge pr. </v>
      </c>
      <c r="L37" t="str">
        <f t="shared" si="2"/>
        <v>tryrun('msedge.exe --profile-directory=""')</v>
      </c>
    </row>
    <row r="38" spans="2:12" x14ac:dyDescent="0.25">
      <c r="B38" t="s">
        <v>262</v>
      </c>
      <c r="G38" t="s">
        <v>287</v>
      </c>
      <c r="H38" t="s">
        <v>309</v>
      </c>
      <c r="I38" t="str">
        <f t="shared" si="0"/>
        <v xml:space="preserve">ep </v>
      </c>
      <c r="J38" t="str">
        <f t="shared" si="1"/>
        <v xml:space="preserve">Edge pr. </v>
      </c>
      <c r="L38" t="str">
        <f t="shared" si="2"/>
        <v>tryrun('msedge.exe --profile-directory=""')</v>
      </c>
    </row>
    <row r="39" spans="2:12" x14ac:dyDescent="0.25">
      <c r="G39" t="s">
        <v>287</v>
      </c>
      <c r="H39" t="s">
        <v>309</v>
      </c>
      <c r="I39" t="str">
        <f t="shared" si="0"/>
        <v xml:space="preserve">ep </v>
      </c>
      <c r="J39" t="str">
        <f t="shared" si="1"/>
        <v xml:space="preserve">Edge pr. </v>
      </c>
      <c r="L39" t="str">
        <f t="shared" si="2"/>
        <v>tryrun('msedge.exe --profile-directory=""')</v>
      </c>
    </row>
    <row r="40" spans="2:12" x14ac:dyDescent="0.25">
      <c r="B40" t="s">
        <v>263</v>
      </c>
      <c r="C40" t="str" cm="1">
        <f t="array" ref="C40">IF(ISNUMBER(SEARCH("\",B40)),INDEX(_xlfn.TEXTSPLIT(B40,"\"),6),"")</f>
        <v>Profile 21</v>
      </c>
      <c r="D40" t="str" cm="1">
        <f t="array" ref="D40">IF(ISBLANK(B41),"",INDEX(_xlfn.TEXTSPLIT(B41,"    "),4))</f>
        <v>Foundation</v>
      </c>
      <c r="G40" t="s">
        <v>287</v>
      </c>
      <c r="H40" t="s">
        <v>309</v>
      </c>
      <c r="I40" t="str">
        <f t="shared" si="0"/>
        <v xml:space="preserve">ep </v>
      </c>
      <c r="J40" t="str">
        <f t="shared" si="1"/>
        <v xml:space="preserve">Edge pr. </v>
      </c>
      <c r="L40" t="str">
        <f t="shared" si="2"/>
        <v>tryrun('msedge.exe --profile-directory=""')</v>
      </c>
    </row>
    <row r="41" spans="2:12" x14ac:dyDescent="0.25">
      <c r="B41" t="s">
        <v>264</v>
      </c>
      <c r="G41" t="s">
        <v>287</v>
      </c>
      <c r="H41" t="s">
        <v>309</v>
      </c>
      <c r="I41" t="str">
        <f t="shared" si="0"/>
        <v xml:space="preserve">ep </v>
      </c>
      <c r="J41" t="str">
        <f t="shared" si="1"/>
        <v xml:space="preserve">Edge pr. </v>
      </c>
      <c r="L41" t="str">
        <f t="shared" si="2"/>
        <v>tryrun('msedge.exe --profile-directory=""')</v>
      </c>
    </row>
    <row r="42" spans="2:12" x14ac:dyDescent="0.25">
      <c r="G42" t="s">
        <v>287</v>
      </c>
      <c r="H42" t="s">
        <v>309</v>
      </c>
      <c r="I42" t="str">
        <f t="shared" si="0"/>
        <v xml:space="preserve">ep </v>
      </c>
      <c r="J42" t="str">
        <f t="shared" si="1"/>
        <v xml:space="preserve">Edge pr. </v>
      </c>
      <c r="L42" t="str">
        <f t="shared" si="2"/>
        <v>tryrun('msedge.exe --profile-directory=""')</v>
      </c>
    </row>
    <row r="43" spans="2:12" x14ac:dyDescent="0.25">
      <c r="B43" t="s">
        <v>265</v>
      </c>
      <c r="C43" t="str" cm="1">
        <f t="array" ref="C43">IF(ISNUMBER(SEARCH("\",B43)),INDEX(_xlfn.TEXTSPLIT(B43,"\"),6),"")</f>
        <v>Profile 22</v>
      </c>
      <c r="D43" t="str" cm="1">
        <f t="array" ref="D43">IF(ISBLANK(B44),"",INDEX(_xlfn.TEXTSPLIT(B44,"    "),4))</f>
        <v>Personal VENED</v>
      </c>
      <c r="G43" t="s">
        <v>287</v>
      </c>
      <c r="H43" t="s">
        <v>309</v>
      </c>
      <c r="I43" t="str">
        <f t="shared" si="0"/>
        <v xml:space="preserve">ep </v>
      </c>
      <c r="J43" t="str">
        <f t="shared" si="1"/>
        <v xml:space="preserve">Edge pr. </v>
      </c>
      <c r="L43" t="str">
        <f t="shared" si="2"/>
        <v>tryrun('msedge.exe --profile-directory=""')</v>
      </c>
    </row>
    <row r="44" spans="2:12" x14ac:dyDescent="0.25">
      <c r="B44" t="s">
        <v>266</v>
      </c>
      <c r="G44" t="s">
        <v>287</v>
      </c>
      <c r="H44" t="s">
        <v>309</v>
      </c>
      <c r="I44" t="str">
        <f t="shared" si="0"/>
        <v xml:space="preserve">ep </v>
      </c>
      <c r="J44" t="str">
        <f t="shared" si="1"/>
        <v xml:space="preserve">Edge pr. </v>
      </c>
      <c r="L44" t="str">
        <f t="shared" si="2"/>
        <v>tryrun('msedge.exe --profile-directory=""')</v>
      </c>
    </row>
    <row r="45" spans="2:12" x14ac:dyDescent="0.25">
      <c r="G45" t="s">
        <v>287</v>
      </c>
      <c r="H45" t="s">
        <v>309</v>
      </c>
      <c r="I45" t="str">
        <f t="shared" si="0"/>
        <v xml:space="preserve">ep </v>
      </c>
      <c r="J45" t="str">
        <f t="shared" si="1"/>
        <v xml:space="preserve">Edge pr. </v>
      </c>
      <c r="L45" t="str">
        <f t="shared" si="2"/>
        <v>tryrun('msedge.exe --profile-directory=""')</v>
      </c>
    </row>
    <row r="46" spans="2:12" x14ac:dyDescent="0.25">
      <c r="B46" t="s">
        <v>267</v>
      </c>
      <c r="C46" t="str" cm="1">
        <f t="array" ref="C46">IF(ISNUMBER(SEARCH("\",B46)),INDEX(_xlfn.TEXTSPLIT(B46,"\"),6),"")</f>
        <v>Profile 23</v>
      </c>
      <c r="D46" t="str" cm="1">
        <f t="array" ref="D46">IF(ISBLANK(B47),"",INDEX(_xlfn.TEXTSPLIT(B47,"    "),4))</f>
        <v>Synerlogic azure</v>
      </c>
      <c r="G46" t="s">
        <v>287</v>
      </c>
      <c r="H46" t="s">
        <v>309</v>
      </c>
      <c r="I46" t="str">
        <f t="shared" si="0"/>
        <v xml:space="preserve">ep </v>
      </c>
      <c r="J46" t="str">
        <f t="shared" si="1"/>
        <v xml:space="preserve">Edge pr. </v>
      </c>
      <c r="L46" t="str">
        <f t="shared" si="2"/>
        <v>tryrun('msedge.exe --profile-directory=""')</v>
      </c>
    </row>
    <row r="47" spans="2:12" x14ac:dyDescent="0.25">
      <c r="B47" t="s">
        <v>268</v>
      </c>
      <c r="G47" t="s">
        <v>287</v>
      </c>
      <c r="H47" t="s">
        <v>309</v>
      </c>
      <c r="I47" t="str">
        <f t="shared" si="0"/>
        <v xml:space="preserve">ep </v>
      </c>
      <c r="J47" t="str">
        <f t="shared" si="1"/>
        <v xml:space="preserve">Edge pr. </v>
      </c>
      <c r="L47" t="str">
        <f t="shared" si="2"/>
        <v>tryrun('msedge.exe --profile-directory=""')</v>
      </c>
    </row>
    <row r="48" spans="2:12" x14ac:dyDescent="0.25">
      <c r="G48" t="s">
        <v>287</v>
      </c>
      <c r="H48" t="s">
        <v>309</v>
      </c>
      <c r="I48" t="str">
        <f t="shared" si="0"/>
        <v xml:space="preserve">ep </v>
      </c>
      <c r="J48" t="str">
        <f t="shared" si="1"/>
        <v xml:space="preserve">Edge pr. </v>
      </c>
      <c r="L48" t="str">
        <f t="shared" si="2"/>
        <v>tryrun('msedge.exe --profile-directory=""')</v>
      </c>
    </row>
    <row r="49" spans="2:12" x14ac:dyDescent="0.25">
      <c r="B49" t="s">
        <v>269</v>
      </c>
      <c r="C49" t="str" cm="1">
        <f t="array" ref="C49">IF(ISNUMBER(SEARCH("\",B49)),INDEX(_xlfn.TEXTSPLIT(B49,"\"),6),"")</f>
        <v>Profile 24</v>
      </c>
      <c r="D49" t="str" cm="1">
        <f t="array" ref="D49">IF(ISBLANK(B50),"",INDEX(_xlfn.TEXTSPLIT(B50,"    "),4))</f>
        <v>AxiansPS</v>
      </c>
      <c r="G49" t="s">
        <v>287</v>
      </c>
      <c r="H49" t="s">
        <v>309</v>
      </c>
      <c r="I49" t="str">
        <f t="shared" si="0"/>
        <v xml:space="preserve">ep </v>
      </c>
      <c r="J49" t="str">
        <f t="shared" si="1"/>
        <v xml:space="preserve">Edge pr. </v>
      </c>
      <c r="L49" t="str">
        <f t="shared" si="2"/>
        <v>tryrun('msedge.exe --profile-directory=""')</v>
      </c>
    </row>
    <row r="50" spans="2:12" x14ac:dyDescent="0.25">
      <c r="B50" t="s">
        <v>270</v>
      </c>
      <c r="G50" t="s">
        <v>287</v>
      </c>
      <c r="H50" t="s">
        <v>309</v>
      </c>
      <c r="I50" t="str">
        <f t="shared" si="0"/>
        <v xml:space="preserve">ep </v>
      </c>
      <c r="J50" t="str">
        <f t="shared" si="1"/>
        <v xml:space="preserve">Edge pr. </v>
      </c>
      <c r="L50" t="str">
        <f t="shared" si="2"/>
        <v>tryrun('msedge.exe --profile-directory=""')</v>
      </c>
    </row>
    <row r="51" spans="2:12" x14ac:dyDescent="0.25">
      <c r="G51" t="s">
        <v>287</v>
      </c>
      <c r="H51" t="s">
        <v>309</v>
      </c>
      <c r="I51" t="str">
        <f t="shared" si="0"/>
        <v xml:space="preserve">ep </v>
      </c>
      <c r="J51" t="str">
        <f t="shared" si="1"/>
        <v xml:space="preserve">Edge pr. </v>
      </c>
      <c r="L51" t="str">
        <f t="shared" si="2"/>
        <v>tryrun('msedge.exe --profile-directory=""')</v>
      </c>
    </row>
    <row r="52" spans="2:12" x14ac:dyDescent="0.25">
      <c r="B52" t="s">
        <v>271</v>
      </c>
      <c r="C52" t="str" cm="1">
        <f t="array" ref="C52">IF(ISNUMBER(SEARCH("\",B52)),INDEX(_xlfn.TEXTSPLIT(B52,"\"),6),"")</f>
        <v>Profile 3</v>
      </c>
      <c r="D52" t="str" cm="1">
        <f t="array" ref="D52">IF(ISBLANK(B53),"",INDEX(_xlfn.TEXTSPLIT(B53,"    "),4))</f>
        <v>Mediq</v>
      </c>
      <c r="G52" t="s">
        <v>287</v>
      </c>
      <c r="H52" t="s">
        <v>309</v>
      </c>
      <c r="I52" t="str">
        <f t="shared" si="0"/>
        <v xml:space="preserve">ep </v>
      </c>
      <c r="J52" t="str">
        <f t="shared" si="1"/>
        <v xml:space="preserve">Edge pr. </v>
      </c>
      <c r="L52" t="str">
        <f t="shared" si="2"/>
        <v>tryrun('msedge.exe --profile-directory=""')</v>
      </c>
    </row>
    <row r="53" spans="2:12" x14ac:dyDescent="0.25">
      <c r="B53" t="s">
        <v>272</v>
      </c>
      <c r="G53" t="s">
        <v>287</v>
      </c>
      <c r="H53" t="s">
        <v>309</v>
      </c>
      <c r="I53" t="str">
        <f t="shared" si="0"/>
        <v xml:space="preserve">ep </v>
      </c>
      <c r="J53" t="str">
        <f t="shared" si="1"/>
        <v xml:space="preserve">Edge pr. </v>
      </c>
      <c r="L53" t="str">
        <f t="shared" si="2"/>
        <v>tryrun('msedge.exe --profile-directory=""')</v>
      </c>
    </row>
    <row r="54" spans="2:12" x14ac:dyDescent="0.25">
      <c r="G54" t="s">
        <v>287</v>
      </c>
      <c r="H54" t="s">
        <v>309</v>
      </c>
      <c r="I54" t="str">
        <f t="shared" si="0"/>
        <v xml:space="preserve">ep </v>
      </c>
      <c r="J54" t="str">
        <f t="shared" si="1"/>
        <v xml:space="preserve">Edge pr. </v>
      </c>
      <c r="L54" t="str">
        <f t="shared" si="2"/>
        <v>tryrun('msedge.exe --profile-directory=""')</v>
      </c>
    </row>
    <row r="55" spans="2:12" x14ac:dyDescent="0.25">
      <c r="B55" t="s">
        <v>273</v>
      </c>
      <c r="C55" t="str" cm="1">
        <f t="array" ref="C55">IF(ISNUMBER(SEARCH("\",B55)),INDEX(_xlfn.TEXTSPLIT(B55,"\"),6),"")</f>
        <v>Profile 4</v>
      </c>
      <c r="D55" t="str" cm="1">
        <f t="array" ref="D55">IF(ISBLANK(B56),"",INDEX(_xlfn.TEXTSPLIT(B56,"    "),4))</f>
        <v>Support vinci</v>
      </c>
      <c r="G55" t="s">
        <v>287</v>
      </c>
      <c r="H55" t="s">
        <v>309</v>
      </c>
      <c r="I55" t="str">
        <f t="shared" si="0"/>
        <v xml:space="preserve">ep </v>
      </c>
      <c r="J55" t="str">
        <f t="shared" si="1"/>
        <v xml:space="preserve">Edge pr. </v>
      </c>
      <c r="L55" t="str">
        <f t="shared" si="2"/>
        <v>tryrun('msedge.exe --profile-directory=""')</v>
      </c>
    </row>
    <row r="56" spans="2:12" x14ac:dyDescent="0.25">
      <c r="B56" t="s">
        <v>274</v>
      </c>
      <c r="G56" t="s">
        <v>287</v>
      </c>
      <c r="H56" t="s">
        <v>309</v>
      </c>
      <c r="I56" t="str">
        <f t="shared" si="0"/>
        <v xml:space="preserve">ep </v>
      </c>
      <c r="J56" t="str">
        <f t="shared" si="1"/>
        <v xml:space="preserve">Edge pr. </v>
      </c>
      <c r="L56" t="str">
        <f t="shared" si="2"/>
        <v>tryrun('msedge.exe --profile-directory=""')</v>
      </c>
    </row>
    <row r="57" spans="2:12" x14ac:dyDescent="0.25">
      <c r="G57" t="s">
        <v>287</v>
      </c>
      <c r="H57" t="s">
        <v>309</v>
      </c>
      <c r="I57" t="str">
        <f t="shared" si="0"/>
        <v xml:space="preserve">ep </v>
      </c>
      <c r="J57" t="str">
        <f t="shared" si="1"/>
        <v xml:space="preserve">Edge pr. </v>
      </c>
      <c r="L57" t="str">
        <f t="shared" si="2"/>
        <v>tryrun('msedge.exe --profile-directory=""')</v>
      </c>
    </row>
    <row r="58" spans="2:12" x14ac:dyDescent="0.25">
      <c r="B58" t="s">
        <v>275</v>
      </c>
      <c r="C58" t="str" cm="1">
        <f t="array" ref="C58">IF(ISNUMBER(SEARCH("\",B58)),INDEX(_xlfn.TEXTSPLIT(B58,"\"),6),"")</f>
        <v>Profile 5</v>
      </c>
      <c r="D58" t="str" cm="1">
        <f t="array" ref="D58">IF(ISBLANK(B59),"",INDEX(_xlfn.TEXTSPLIT(B59,"    "),4))</f>
        <v>Emergis</v>
      </c>
      <c r="G58" t="s">
        <v>287</v>
      </c>
      <c r="H58" t="s">
        <v>309</v>
      </c>
      <c r="I58" t="str">
        <f t="shared" si="0"/>
        <v xml:space="preserve">ep </v>
      </c>
      <c r="J58" t="str">
        <f t="shared" si="1"/>
        <v xml:space="preserve">Edge pr. </v>
      </c>
      <c r="L58" t="str">
        <f t="shared" si="2"/>
        <v>tryrun('msedge.exe --profile-directory=""')</v>
      </c>
    </row>
    <row r="59" spans="2:12" x14ac:dyDescent="0.25">
      <c r="B59" t="s">
        <v>276</v>
      </c>
      <c r="G59" t="s">
        <v>287</v>
      </c>
      <c r="H59" t="s">
        <v>309</v>
      </c>
      <c r="I59" t="str">
        <f t="shared" si="0"/>
        <v xml:space="preserve">ep </v>
      </c>
      <c r="J59" t="str">
        <f t="shared" si="1"/>
        <v xml:space="preserve">Edge pr. </v>
      </c>
      <c r="L59" t="str">
        <f t="shared" si="2"/>
        <v>tryrun('msedge.exe --profile-directory=""')</v>
      </c>
    </row>
    <row r="60" spans="2:12" x14ac:dyDescent="0.25">
      <c r="G60" t="s">
        <v>287</v>
      </c>
      <c r="H60" t="s">
        <v>309</v>
      </c>
      <c r="I60" t="str">
        <f t="shared" si="0"/>
        <v xml:space="preserve">ep </v>
      </c>
      <c r="J60" t="str">
        <f t="shared" si="1"/>
        <v xml:space="preserve">Edge pr. </v>
      </c>
      <c r="L60" t="str">
        <f t="shared" si="2"/>
        <v>tryrun('msedge.exe --profile-directory=""')</v>
      </c>
    </row>
    <row r="61" spans="2:12" x14ac:dyDescent="0.25">
      <c r="B61" t="s">
        <v>277</v>
      </c>
      <c r="C61" t="str" cm="1">
        <f t="array" ref="C61">IF(ISNUMBER(SEARCH("\",B61)),INDEX(_xlfn.TEXTSPLIT(B61,"\"),6),"")</f>
        <v>Profile 6</v>
      </c>
      <c r="D61" t="str" cm="1">
        <f t="array" ref="D61">IF(ISBLANK(B62),"",INDEX(_xlfn.TEXTSPLIT(B62,"    "),4))</f>
        <v>Burg</v>
      </c>
      <c r="G61" t="s">
        <v>287</v>
      </c>
      <c r="H61" t="s">
        <v>309</v>
      </c>
      <c r="I61" t="str">
        <f t="shared" si="0"/>
        <v xml:space="preserve">ep </v>
      </c>
      <c r="J61" t="str">
        <f t="shared" si="1"/>
        <v xml:space="preserve">Edge pr. </v>
      </c>
      <c r="L61" t="str">
        <f t="shared" si="2"/>
        <v>tryrun('msedge.exe --profile-directory=""')</v>
      </c>
    </row>
    <row r="62" spans="2:12" x14ac:dyDescent="0.25">
      <c r="B62" t="s">
        <v>278</v>
      </c>
      <c r="G62" t="s">
        <v>287</v>
      </c>
      <c r="H62" t="s">
        <v>309</v>
      </c>
      <c r="I62" t="str">
        <f t="shared" si="0"/>
        <v xml:space="preserve">ep </v>
      </c>
      <c r="J62" t="str">
        <f t="shared" si="1"/>
        <v xml:space="preserve">Edge pr. </v>
      </c>
      <c r="L62" t="str">
        <f t="shared" si="2"/>
        <v>tryrun('msedge.exe --profile-directory=""')</v>
      </c>
    </row>
    <row r="63" spans="2:12" x14ac:dyDescent="0.25">
      <c r="G63" t="s">
        <v>287</v>
      </c>
      <c r="H63" t="s">
        <v>309</v>
      </c>
      <c r="I63" t="str">
        <f t="shared" si="0"/>
        <v xml:space="preserve">ep </v>
      </c>
      <c r="J63" t="str">
        <f t="shared" si="1"/>
        <v xml:space="preserve">Edge pr. </v>
      </c>
      <c r="L63" t="str">
        <f t="shared" si="2"/>
        <v>tryrun('msedge.exe --profile-directory=""')</v>
      </c>
    </row>
    <row r="64" spans="2:12" x14ac:dyDescent="0.25">
      <c r="B64" t="s">
        <v>279</v>
      </c>
      <c r="C64" t="str" cm="1">
        <f t="array" ref="C64">IF(ISNUMBER(SEARCH("\",B64)),INDEX(_xlfn.TEXTSPLIT(B64,"\"),6),"")</f>
        <v>Profile 7</v>
      </c>
      <c r="D64" t="str" cm="1">
        <f t="array" ref="D64">IF(ISBLANK(B65),"",INDEX(_xlfn.TEXTSPLIT(B65,"    "),4))</f>
        <v>ODF</v>
      </c>
      <c r="G64" t="s">
        <v>287</v>
      </c>
      <c r="H64" t="s">
        <v>309</v>
      </c>
      <c r="I64" t="str">
        <f t="shared" si="0"/>
        <v xml:space="preserve">ep </v>
      </c>
      <c r="J64" t="str">
        <f t="shared" si="1"/>
        <v xml:space="preserve">Edge pr. </v>
      </c>
      <c r="L64" t="str">
        <f t="shared" si="2"/>
        <v>tryrun('msedge.exe --profile-directory=""')</v>
      </c>
    </row>
    <row r="65" spans="2:12" x14ac:dyDescent="0.25">
      <c r="B65" t="s">
        <v>280</v>
      </c>
      <c r="G65" t="s">
        <v>287</v>
      </c>
      <c r="H65" t="s">
        <v>309</v>
      </c>
      <c r="I65" t="str">
        <f t="shared" si="0"/>
        <v xml:space="preserve">ep </v>
      </c>
      <c r="J65" t="str">
        <f t="shared" si="1"/>
        <v xml:space="preserve">Edge pr. </v>
      </c>
      <c r="L65" t="str">
        <f t="shared" si="2"/>
        <v>tryrun('msedge.exe --profile-directory=""')</v>
      </c>
    </row>
    <row r="66" spans="2:12" x14ac:dyDescent="0.25">
      <c r="G66" t="s">
        <v>287</v>
      </c>
      <c r="H66" t="s">
        <v>309</v>
      </c>
      <c r="I66" t="str">
        <f t="shared" si="0"/>
        <v xml:space="preserve">ep </v>
      </c>
      <c r="J66" t="str">
        <f t="shared" si="1"/>
        <v xml:space="preserve">Edge pr. </v>
      </c>
      <c r="L66" t="str">
        <f t="shared" si="2"/>
        <v>tryrun('msedge.exe --profile-directory=""')</v>
      </c>
    </row>
    <row r="67" spans="2:12" x14ac:dyDescent="0.25">
      <c r="B67" t="s">
        <v>281</v>
      </c>
      <c r="C67" t="str" cm="1">
        <f t="array" ref="C67">IF(ISNUMBER(SEARCH("\",B67)),INDEX(_xlfn.TEXTSPLIT(B67,"\"),6),"")</f>
        <v>Profile 8</v>
      </c>
      <c r="D67" t="str" cm="1">
        <f t="array" ref="D67">IF(ISBLANK(B68),"",INDEX(_xlfn.TEXTSPLIT(B68,"    "),4))</f>
        <v>Kiwa</v>
      </c>
      <c r="G67" t="s">
        <v>287</v>
      </c>
      <c r="H67" t="s">
        <v>309</v>
      </c>
      <c r="I67" t="str">
        <f t="shared" si="0"/>
        <v xml:space="preserve">ep </v>
      </c>
      <c r="J67" t="str">
        <f t="shared" si="1"/>
        <v xml:space="preserve">Edge pr. </v>
      </c>
      <c r="L67" t="str">
        <f t="shared" si="2"/>
        <v>tryrun('msedge.exe --profile-directory=""')</v>
      </c>
    </row>
    <row r="68" spans="2:12" x14ac:dyDescent="0.25">
      <c r="B68" t="s">
        <v>282</v>
      </c>
      <c r="G68" t="s">
        <v>287</v>
      </c>
      <c r="H68" t="s">
        <v>309</v>
      </c>
      <c r="I68" t="str">
        <f t="shared" si="0"/>
        <v xml:space="preserve">ep </v>
      </c>
      <c r="J68" t="str">
        <f t="shared" si="1"/>
        <v xml:space="preserve">Edge pr. </v>
      </c>
      <c r="L68" t="str">
        <f t="shared" si="2"/>
        <v>tryrun('msedge.exe --profile-directory=""')</v>
      </c>
    </row>
    <row r="69" spans="2:12" x14ac:dyDescent="0.25">
      <c r="G69" t="s">
        <v>287</v>
      </c>
      <c r="H69" t="s">
        <v>309</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283</v>
      </c>
      <c r="C70" t="str" cm="1">
        <f t="array" ref="C70">IF(ISNUMBER(SEARCH("\",B70)),INDEX(_xlfn.TEXTSPLIT(B70,"\"),6),"")</f>
        <v/>
      </c>
      <c r="D70" t="str" cm="1">
        <f t="array" ref="D70">IF(ISBLANK(B71),"",INDEX(_xlfn.TEXTSPLIT(B71,"    "),4))</f>
        <v/>
      </c>
      <c r="G70" t="s">
        <v>287</v>
      </c>
      <c r="H70" t="s">
        <v>309</v>
      </c>
      <c r="I70" t="str">
        <f t="shared" si="3"/>
        <v xml:space="preserve">ep </v>
      </c>
      <c r="J70" t="str">
        <f t="shared" si="4"/>
        <v xml:space="preserve">Edge pr. </v>
      </c>
      <c r="L70" t="str">
        <f t="shared" si="5"/>
        <v>tryrun('msedge.exe --profile-directory=""')</v>
      </c>
    </row>
    <row r="71" spans="2:12" x14ac:dyDescent="0.25">
      <c r="G71" t="s">
        <v>287</v>
      </c>
      <c r="H71" t="s">
        <v>309</v>
      </c>
      <c r="I71" t="str">
        <f t="shared" si="3"/>
        <v xml:space="preserve">ep </v>
      </c>
      <c r="J71" t="str">
        <f t="shared" si="4"/>
        <v xml:space="preserve">Edge pr. </v>
      </c>
      <c r="L71" t="str">
        <f t="shared" si="5"/>
        <v>tryrun('msedge.exe --profile-directory=""')</v>
      </c>
    </row>
    <row r="72" spans="2:12" x14ac:dyDescent="0.25">
      <c r="G72" t="s">
        <v>287</v>
      </c>
      <c r="H72" t="s">
        <v>309</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287</v>
      </c>
      <c r="H73" t="s">
        <v>309</v>
      </c>
      <c r="I73" t="str">
        <f t="shared" si="3"/>
        <v xml:space="preserve">ep </v>
      </c>
      <c r="J73" t="str">
        <f t="shared" si="4"/>
        <v xml:space="preserve">Edge pr. </v>
      </c>
      <c r="L73" t="str">
        <f t="shared" si="5"/>
        <v>tryrun('msedge.exe --profile-directory=""')</v>
      </c>
    </row>
    <row r="74" spans="2:12" x14ac:dyDescent="0.25">
      <c r="G74" t="s">
        <v>287</v>
      </c>
      <c r="H74" t="s">
        <v>309</v>
      </c>
      <c r="I74" t="str">
        <f t="shared" si="3"/>
        <v xml:space="preserve">ep </v>
      </c>
      <c r="J74" t="str">
        <f t="shared" si="4"/>
        <v xml:space="preserve">Edge pr. </v>
      </c>
      <c r="L74" t="str">
        <f t="shared" si="5"/>
        <v>tryrun('msedge.exe --profile-directory=""')</v>
      </c>
    </row>
    <row r="75" spans="2:12" x14ac:dyDescent="0.25">
      <c r="G75" t="s">
        <v>287</v>
      </c>
      <c r="H75" t="s">
        <v>309</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287</v>
      </c>
      <c r="H76" t="s">
        <v>309</v>
      </c>
      <c r="I76" t="str">
        <f t="shared" si="3"/>
        <v xml:space="preserve">ep </v>
      </c>
      <c r="J76" t="str">
        <f t="shared" si="4"/>
        <v xml:space="preserve">Edge pr. </v>
      </c>
      <c r="L76" t="str">
        <f t="shared" si="5"/>
        <v>tryrun('msedge.exe --profile-directory=""')</v>
      </c>
    </row>
    <row r="77" spans="2:12" x14ac:dyDescent="0.25">
      <c r="G77" t="s">
        <v>287</v>
      </c>
      <c r="H77" t="s">
        <v>309</v>
      </c>
      <c r="I77" t="str">
        <f t="shared" si="3"/>
        <v xml:space="preserve">ep </v>
      </c>
      <c r="J77" t="str">
        <f t="shared" si="4"/>
        <v xml:space="preserve">Edge pr. </v>
      </c>
      <c r="L77" t="str">
        <f t="shared" si="5"/>
        <v>tryrun('msedge.exe --profile-directory=""')</v>
      </c>
    </row>
    <row r="78" spans="2:12" x14ac:dyDescent="0.25">
      <c r="G78" t="s">
        <v>287</v>
      </c>
      <c r="H78" t="s">
        <v>309</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287</v>
      </c>
      <c r="H79" t="s">
        <v>309</v>
      </c>
      <c r="I79" t="str">
        <f t="shared" si="3"/>
        <v xml:space="preserve">ep </v>
      </c>
      <c r="J79" t="str">
        <f t="shared" si="4"/>
        <v xml:space="preserve">Edge pr. </v>
      </c>
      <c r="L79" t="str">
        <f t="shared" si="5"/>
        <v>tryrun('msedge.exe --profile-directory=""')</v>
      </c>
    </row>
    <row r="80" spans="2:12" x14ac:dyDescent="0.25">
      <c r="G80" t="s">
        <v>287</v>
      </c>
      <c r="H80" t="s">
        <v>309</v>
      </c>
      <c r="I80" t="str">
        <f t="shared" si="3"/>
        <v xml:space="preserve">ep </v>
      </c>
      <c r="J80" t="str">
        <f t="shared" si="4"/>
        <v xml:space="preserve">Edge pr. </v>
      </c>
      <c r="L80" t="str">
        <f t="shared" si="5"/>
        <v>tryrun('msedge.exe --profile-directory=""')</v>
      </c>
    </row>
    <row r="81" spans="3:12" x14ac:dyDescent="0.25">
      <c r="G81" t="s">
        <v>287</v>
      </c>
      <c r="H81" t="s">
        <v>309</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287</v>
      </c>
      <c r="H82" t="s">
        <v>309</v>
      </c>
      <c r="I82" t="str">
        <f t="shared" si="3"/>
        <v xml:space="preserve">ep </v>
      </c>
      <c r="J82" t="str">
        <f t="shared" si="4"/>
        <v xml:space="preserve">Edge pr. </v>
      </c>
      <c r="L82" t="str">
        <f t="shared" si="5"/>
        <v>tryrun('msedge.exe --profile-directory=""')</v>
      </c>
    </row>
    <row r="83" spans="3:12" x14ac:dyDescent="0.25">
      <c r="G83" t="s">
        <v>287</v>
      </c>
      <c r="H83" t="s">
        <v>309</v>
      </c>
      <c r="I83" t="str">
        <f t="shared" si="3"/>
        <v xml:space="preserve">ep </v>
      </c>
      <c r="J83" t="str">
        <f t="shared" si="4"/>
        <v xml:space="preserve">Edge pr. </v>
      </c>
      <c r="L83" t="str">
        <f t="shared" si="5"/>
        <v>tryrun('msedge.exe --profile-directory=""')</v>
      </c>
    </row>
    <row r="84" spans="3:12" x14ac:dyDescent="0.25">
      <c r="G84" t="s">
        <v>287</v>
      </c>
      <c r="H84" t="s">
        <v>309</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287</v>
      </c>
      <c r="H85" t="s">
        <v>309</v>
      </c>
      <c r="I85" t="str">
        <f t="shared" si="3"/>
        <v xml:space="preserve">ep </v>
      </c>
      <c r="J85" t="str">
        <f t="shared" si="4"/>
        <v xml:space="preserve">Edge pr. </v>
      </c>
      <c r="L85" t="str">
        <f t="shared" si="5"/>
        <v>tryrun('msedge.exe --profile-directory=""')</v>
      </c>
    </row>
    <row r="86" spans="3:12" x14ac:dyDescent="0.25">
      <c r="G86" t="s">
        <v>287</v>
      </c>
      <c r="H86" t="s">
        <v>309</v>
      </c>
      <c r="I86" t="str">
        <f t="shared" si="3"/>
        <v xml:space="preserve">ep </v>
      </c>
      <c r="J86" t="str">
        <f t="shared" si="4"/>
        <v xml:space="preserve">Edge pr. </v>
      </c>
      <c r="L86" t="str">
        <f t="shared" si="5"/>
        <v>tryrun('msedge.exe --profile-directory=""')</v>
      </c>
    </row>
    <row r="87" spans="3:12" x14ac:dyDescent="0.25">
      <c r="G87" t="s">
        <v>287</v>
      </c>
      <c r="H87" t="s">
        <v>309</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287</v>
      </c>
      <c r="H88" t="s">
        <v>309</v>
      </c>
      <c r="I88" t="str">
        <f t="shared" si="3"/>
        <v xml:space="preserve">ep </v>
      </c>
      <c r="J88" t="str">
        <f t="shared" si="4"/>
        <v xml:space="preserve">Edge pr. </v>
      </c>
      <c r="L88" t="str">
        <f t="shared" si="5"/>
        <v>tryrun('msedge.exe --profile-directory=""')</v>
      </c>
    </row>
    <row r="89" spans="3:12" x14ac:dyDescent="0.25">
      <c r="G89" t="s">
        <v>287</v>
      </c>
      <c r="H89" t="s">
        <v>309</v>
      </c>
      <c r="I89" t="str">
        <f t="shared" si="3"/>
        <v xml:space="preserve">ep </v>
      </c>
      <c r="J89" t="str">
        <f t="shared" si="4"/>
        <v xml:space="preserve">Edge pr. </v>
      </c>
      <c r="L89" t="str">
        <f t="shared" si="5"/>
        <v>tryrun('msedge.exe --profile-directory=""')</v>
      </c>
    </row>
    <row r="90" spans="3:12" x14ac:dyDescent="0.25">
      <c r="G90" t="s">
        <v>287</v>
      </c>
      <c r="H90" t="s">
        <v>309</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287</v>
      </c>
      <c r="H91" t="s">
        <v>309</v>
      </c>
      <c r="I91" t="str">
        <f t="shared" si="3"/>
        <v xml:space="preserve">ep </v>
      </c>
      <c r="J91" t="str">
        <f t="shared" si="4"/>
        <v xml:space="preserve">Edge pr. </v>
      </c>
      <c r="L91" t="str">
        <f t="shared" si="5"/>
        <v>tryrun('msedge.exe --profile-directory=""')</v>
      </c>
    </row>
    <row r="92" spans="3:12" x14ac:dyDescent="0.25">
      <c r="G92" t="s">
        <v>287</v>
      </c>
      <c r="H92" t="s">
        <v>309</v>
      </c>
      <c r="I92" t="str">
        <f t="shared" si="3"/>
        <v xml:space="preserve">ep </v>
      </c>
      <c r="J92" t="str">
        <f t="shared" si="4"/>
        <v xml:space="preserve">Edge pr. </v>
      </c>
      <c r="L92" t="str">
        <f t="shared" si="5"/>
        <v>tryrun('msedge.exe --profile-directory=""')</v>
      </c>
    </row>
    <row r="93" spans="3:12" x14ac:dyDescent="0.25">
      <c r="G93" t="s">
        <v>287</v>
      </c>
      <c r="H93" t="s">
        <v>309</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287</v>
      </c>
      <c r="H94" t="s">
        <v>309</v>
      </c>
      <c r="I94" t="str">
        <f t="shared" si="3"/>
        <v xml:space="preserve">ep </v>
      </c>
      <c r="J94" t="str">
        <f t="shared" si="4"/>
        <v xml:space="preserve">Edge pr. </v>
      </c>
      <c r="L94" t="str">
        <f t="shared" si="5"/>
        <v>tryrun('msedge.exe --profile-directory=""')</v>
      </c>
    </row>
    <row r="95" spans="3:12" x14ac:dyDescent="0.25">
      <c r="G95" t="s">
        <v>287</v>
      </c>
      <c r="H95" t="s">
        <v>309</v>
      </c>
      <c r="I95" t="str">
        <f t="shared" si="3"/>
        <v xml:space="preserve">ep </v>
      </c>
      <c r="J95" t="str">
        <f t="shared" si="4"/>
        <v xml:space="preserve">Edge pr. </v>
      </c>
      <c r="L95" t="str">
        <f t="shared" si="5"/>
        <v>tryrun('msedge.exe --profile-directory=""')</v>
      </c>
    </row>
    <row r="96" spans="3:12" x14ac:dyDescent="0.25">
      <c r="G96" t="s">
        <v>287</v>
      </c>
      <c r="H96" t="s">
        <v>309</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287</v>
      </c>
      <c r="H97" t="s">
        <v>309</v>
      </c>
      <c r="I97" t="str">
        <f t="shared" si="3"/>
        <v xml:space="preserve">ep </v>
      </c>
      <c r="J97" t="str">
        <f t="shared" si="4"/>
        <v xml:space="preserve">Edge pr. </v>
      </c>
      <c r="L97" t="str">
        <f t="shared" si="5"/>
        <v>tryrun('msedge.exe --profile-directory=""')</v>
      </c>
    </row>
    <row r="98" spans="3:12" x14ac:dyDescent="0.25">
      <c r="G98" t="s">
        <v>287</v>
      </c>
      <c r="H98" t="s">
        <v>309</v>
      </c>
      <c r="I98" t="str">
        <f t="shared" si="3"/>
        <v xml:space="preserve">ep </v>
      </c>
      <c r="J98" t="str">
        <f t="shared" si="4"/>
        <v xml:space="preserve">Edge pr. </v>
      </c>
      <c r="L98" t="str">
        <f t="shared" si="5"/>
        <v>tryrun('msedge.exe --profile-directory=""')</v>
      </c>
    </row>
    <row r="99" spans="3:12" x14ac:dyDescent="0.25">
      <c r="G99" t="s">
        <v>287</v>
      </c>
      <c r="H99" t="s">
        <v>309</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287</v>
      </c>
      <c r="H100" t="s">
        <v>309</v>
      </c>
      <c r="I100" t="str">
        <f t="shared" si="3"/>
        <v xml:space="preserve">ep </v>
      </c>
      <c r="J100" t="str">
        <f t="shared" si="4"/>
        <v xml:space="preserve">Edge pr. </v>
      </c>
      <c r="L100" t="str">
        <f t="shared" si="5"/>
        <v>tryrun('msedge.exe --profile-directory=""')</v>
      </c>
    </row>
    <row r="101" spans="3:12" x14ac:dyDescent="0.25">
      <c r="G101" t="s">
        <v>287</v>
      </c>
      <c r="H101" t="s">
        <v>309</v>
      </c>
      <c r="I101" t="str">
        <f t="shared" si="3"/>
        <v xml:space="preserve">ep </v>
      </c>
      <c r="J101" t="str">
        <f t="shared" si="4"/>
        <v xml:space="preserve">Edge pr. </v>
      </c>
      <c r="L101" t="str">
        <f t="shared" si="5"/>
        <v>tryrun('msedge.exe --profile-directory=""')</v>
      </c>
    </row>
    <row r="102" spans="3:12" x14ac:dyDescent="0.25">
      <c r="G102" t="s">
        <v>287</v>
      </c>
      <c r="H102" t="s">
        <v>309</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287</v>
      </c>
      <c r="H103" t="s">
        <v>309</v>
      </c>
      <c r="I103" t="str">
        <f t="shared" si="3"/>
        <v xml:space="preserve">ep </v>
      </c>
      <c r="J103" t="str">
        <f t="shared" si="4"/>
        <v xml:space="preserve">Edge pr. </v>
      </c>
      <c r="L103" t="str">
        <f t="shared" si="5"/>
        <v>tryrun('msedge.exe --profile-directory=""')</v>
      </c>
    </row>
    <row r="104" spans="3:12" x14ac:dyDescent="0.25">
      <c r="G104" t="s">
        <v>287</v>
      </c>
      <c r="H104" t="s">
        <v>309</v>
      </c>
      <c r="I104" t="str">
        <f t="shared" si="3"/>
        <v xml:space="preserve">ep </v>
      </c>
      <c r="J104" t="str">
        <f t="shared" si="4"/>
        <v xml:space="preserve">Edge pr. </v>
      </c>
      <c r="L104" t="str">
        <f t="shared" si="5"/>
        <v>tryrun('msedge.exe --profile-directory=""')</v>
      </c>
    </row>
    <row r="105" spans="3:12" x14ac:dyDescent="0.25">
      <c r="G105" t="s">
        <v>287</v>
      </c>
      <c r="H105" t="s">
        <v>309</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287</v>
      </c>
      <c r="H106" t="s">
        <v>309</v>
      </c>
      <c r="I106" t="str">
        <f t="shared" si="3"/>
        <v xml:space="preserve">ep </v>
      </c>
      <c r="J106" t="str">
        <f t="shared" si="4"/>
        <v xml:space="preserve">Edge pr. </v>
      </c>
      <c r="L106" t="str">
        <f t="shared" si="5"/>
        <v>tryrun('msedge.exe --profile-directory=""')</v>
      </c>
    </row>
    <row r="107" spans="3:12" x14ac:dyDescent="0.25">
      <c r="G107" t="s">
        <v>287</v>
      </c>
      <c r="H107" t="s">
        <v>309</v>
      </c>
      <c r="I107" t="str">
        <f t="shared" si="3"/>
        <v xml:space="preserve">ep </v>
      </c>
      <c r="J107" t="str">
        <f t="shared" si="4"/>
        <v xml:space="preserve">Edge pr. </v>
      </c>
      <c r="L107" t="str">
        <f t="shared" si="5"/>
        <v>tryrun('msedge.exe --profile-directory=""')</v>
      </c>
    </row>
    <row r="108" spans="3:12" x14ac:dyDescent="0.25">
      <c r="G108" t="s">
        <v>287</v>
      </c>
      <c r="H108" t="s">
        <v>309</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287</v>
      </c>
      <c r="H109" t="s">
        <v>309</v>
      </c>
      <c r="I109" t="str">
        <f t="shared" si="3"/>
        <v xml:space="preserve">ep </v>
      </c>
      <c r="J109" t="str">
        <f t="shared" si="4"/>
        <v xml:space="preserve">Edge pr. </v>
      </c>
      <c r="L109" t="str">
        <f t="shared" si="5"/>
        <v>tryrun('msedge.exe --profile-directory=""')</v>
      </c>
    </row>
    <row r="110" spans="3:12" x14ac:dyDescent="0.25">
      <c r="G110" t="s">
        <v>287</v>
      </c>
      <c r="H110" t="s">
        <v>309</v>
      </c>
      <c r="I110" t="str">
        <f t="shared" si="3"/>
        <v xml:space="preserve">ep </v>
      </c>
      <c r="J110" t="str">
        <f t="shared" si="4"/>
        <v xml:space="preserve">Edge pr. </v>
      </c>
      <c r="L110" t="str">
        <f t="shared" si="5"/>
        <v>tryrun('msedge.exe --profile-directory=""')</v>
      </c>
    </row>
    <row r="111" spans="3:12" x14ac:dyDescent="0.25">
      <c r="G111" t="s">
        <v>287</v>
      </c>
      <c r="H111" t="s">
        <v>309</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287</v>
      </c>
      <c r="H112" t="s">
        <v>309</v>
      </c>
      <c r="I112" t="str">
        <f t="shared" si="3"/>
        <v xml:space="preserve">ep </v>
      </c>
      <c r="J112" t="str">
        <f t="shared" si="4"/>
        <v xml:space="preserve">Edge pr. </v>
      </c>
      <c r="L112" t="str">
        <f t="shared" si="5"/>
        <v>tryrun('msedge.exe --profile-directory=""')</v>
      </c>
    </row>
    <row r="113" spans="3:12" x14ac:dyDescent="0.25">
      <c r="G113" t="s">
        <v>287</v>
      </c>
      <c r="H113" t="s">
        <v>309</v>
      </c>
      <c r="I113" t="str">
        <f t="shared" si="3"/>
        <v xml:space="preserve">ep </v>
      </c>
      <c r="J113" t="str">
        <f t="shared" si="4"/>
        <v xml:space="preserve">Edge pr. </v>
      </c>
      <c r="L113" t="str">
        <f t="shared" si="5"/>
        <v>tryrun('msedge.exe --profile-directory=""')</v>
      </c>
    </row>
    <row r="114" spans="3:12" x14ac:dyDescent="0.25">
      <c r="G114" t="s">
        <v>287</v>
      </c>
      <c r="H114" t="s">
        <v>309</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287</v>
      </c>
      <c r="H115" t="s">
        <v>309</v>
      </c>
      <c r="I115" t="str">
        <f t="shared" si="3"/>
        <v xml:space="preserve">ep </v>
      </c>
      <c r="J115" t="str">
        <f t="shared" si="4"/>
        <v xml:space="preserve">Edge pr. </v>
      </c>
      <c r="L115" t="str">
        <f t="shared" si="5"/>
        <v>tryrun('msedge.exe --profile-directory=""')</v>
      </c>
    </row>
    <row r="116" spans="3:12" x14ac:dyDescent="0.25">
      <c r="G116" t="s">
        <v>287</v>
      </c>
      <c r="H116" t="s">
        <v>309</v>
      </c>
      <c r="I116" t="str">
        <f t="shared" si="3"/>
        <v xml:space="preserve">ep </v>
      </c>
      <c r="J116" t="str">
        <f t="shared" si="4"/>
        <v xml:space="preserve">Edge pr. </v>
      </c>
      <c r="L116" t="str">
        <f t="shared" si="5"/>
        <v>tryrun('msedge.exe --profile-directory=""')</v>
      </c>
    </row>
    <row r="117" spans="3:12" x14ac:dyDescent="0.25">
      <c r="G117" t="s">
        <v>287</v>
      </c>
      <c r="H117" t="s">
        <v>309</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287</v>
      </c>
      <c r="H118" t="s">
        <v>309</v>
      </c>
      <c r="I118" t="str">
        <f t="shared" si="3"/>
        <v xml:space="preserve">ep </v>
      </c>
      <c r="J118" t="str">
        <f t="shared" si="4"/>
        <v xml:space="preserve">Edge pr. </v>
      </c>
      <c r="L118" t="str">
        <f t="shared" si="5"/>
        <v>tryrun('msedge.exe --profile-directory=""')</v>
      </c>
    </row>
    <row r="119" spans="3:12" x14ac:dyDescent="0.25">
      <c r="G119" t="s">
        <v>287</v>
      </c>
      <c r="H119" t="s">
        <v>309</v>
      </c>
      <c r="I119" t="str">
        <f t="shared" si="3"/>
        <v xml:space="preserve">ep </v>
      </c>
      <c r="J119" t="str">
        <f t="shared" si="4"/>
        <v xml:space="preserve">Edge pr. </v>
      </c>
      <c r="L119" t="str">
        <f t="shared" si="5"/>
        <v>tryrun('msedge.exe --profile-directory=""')</v>
      </c>
    </row>
    <row r="120" spans="3:12" x14ac:dyDescent="0.25">
      <c r="G120" t="s">
        <v>287</v>
      </c>
      <c r="H120" t="s">
        <v>309</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287</v>
      </c>
      <c r="H121" t="s">
        <v>309</v>
      </c>
      <c r="I121" t="str">
        <f t="shared" si="3"/>
        <v xml:space="preserve">ep </v>
      </c>
      <c r="J121" t="str">
        <f t="shared" si="4"/>
        <v xml:space="preserve">Edge pr. </v>
      </c>
      <c r="L121" t="str">
        <f t="shared" si="5"/>
        <v>tryrun('msedge.exe --profile-directory=""')</v>
      </c>
    </row>
    <row r="122" spans="3:12" x14ac:dyDescent="0.25">
      <c r="G122" t="s">
        <v>287</v>
      </c>
      <c r="H122" t="s">
        <v>309</v>
      </c>
      <c r="I122" t="str">
        <f t="shared" si="3"/>
        <v xml:space="preserve">ep </v>
      </c>
      <c r="J122" t="str">
        <f t="shared" si="4"/>
        <v xml:space="preserve">Edge pr. </v>
      </c>
      <c r="L122" t="str">
        <f t="shared" si="5"/>
        <v>tryrun('msedge.exe --profile-directory=""')</v>
      </c>
    </row>
    <row r="123" spans="3:12" x14ac:dyDescent="0.25">
      <c r="G123" t="s">
        <v>287</v>
      </c>
      <c r="H123" t="s">
        <v>309</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287</v>
      </c>
      <c r="H124" t="s">
        <v>309</v>
      </c>
      <c r="I124" t="str">
        <f t="shared" si="3"/>
        <v xml:space="preserve">ep </v>
      </c>
      <c r="J124" t="str">
        <f t="shared" si="4"/>
        <v xml:space="preserve">Edge pr. </v>
      </c>
      <c r="L124" t="str">
        <f t="shared" si="5"/>
        <v>tryrun('msedge.exe --profile-directory=""')</v>
      </c>
    </row>
    <row r="125" spans="3:12" x14ac:dyDescent="0.25">
      <c r="G125" t="s">
        <v>287</v>
      </c>
      <c r="H125" t="s">
        <v>309</v>
      </c>
      <c r="I125" t="str">
        <f t="shared" si="3"/>
        <v xml:space="preserve">ep </v>
      </c>
      <c r="J125" t="str">
        <f t="shared" si="4"/>
        <v xml:space="preserve">Edge pr. </v>
      </c>
      <c r="L125" t="str">
        <f t="shared" si="5"/>
        <v>tryrun('msedge.exe --profile-directory=""')</v>
      </c>
    </row>
    <row r="126" spans="3:12" x14ac:dyDescent="0.25">
      <c r="G126" t="s">
        <v>287</v>
      </c>
      <c r="H126" t="s">
        <v>309</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287</v>
      </c>
      <c r="H127" t="s">
        <v>309</v>
      </c>
      <c r="I127" t="str">
        <f t="shared" si="3"/>
        <v xml:space="preserve">ep </v>
      </c>
      <c r="J127" t="str">
        <f t="shared" si="4"/>
        <v xml:space="preserve">Edge pr. </v>
      </c>
      <c r="L127" t="str">
        <f t="shared" si="5"/>
        <v>tryrun('msedge.exe --profile-directory=""')</v>
      </c>
    </row>
    <row r="128" spans="3:12" x14ac:dyDescent="0.25">
      <c r="G128" t="s">
        <v>287</v>
      </c>
      <c r="H128" t="s">
        <v>309</v>
      </c>
      <c r="I128" t="str">
        <f t="shared" si="3"/>
        <v xml:space="preserve">ep </v>
      </c>
      <c r="J128" t="str">
        <f t="shared" si="4"/>
        <v xml:space="preserve">Edge pr. </v>
      </c>
      <c r="L128" t="str">
        <f t="shared" si="5"/>
        <v>tryrun('msedge.exe --profile-directory=""')</v>
      </c>
    </row>
    <row r="129" spans="3:12" x14ac:dyDescent="0.25">
      <c r="G129" t="s">
        <v>287</v>
      </c>
      <c r="H129" t="s">
        <v>309</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287</v>
      </c>
      <c r="H130" t="s">
        <v>309</v>
      </c>
      <c r="I130" t="str">
        <f t="shared" si="3"/>
        <v xml:space="preserve">ep </v>
      </c>
      <c r="J130" t="str">
        <f t="shared" si="4"/>
        <v xml:space="preserve">Edge pr. </v>
      </c>
      <c r="L130" t="str">
        <f t="shared" si="5"/>
        <v>tryrun('msedge.exe --profile-directory=""')</v>
      </c>
    </row>
    <row r="131" spans="3:12" x14ac:dyDescent="0.25">
      <c r="G131" t="s">
        <v>287</v>
      </c>
      <c r="H131" t="s">
        <v>309</v>
      </c>
      <c r="I131" t="str">
        <f t="shared" si="3"/>
        <v xml:space="preserve">ep </v>
      </c>
      <c r="J131" t="str">
        <f t="shared" si="4"/>
        <v xml:space="preserve">Edge pr. </v>
      </c>
      <c r="L131" t="str">
        <f t="shared" si="5"/>
        <v>tryrun('msedge.exe --profile-directory=""')</v>
      </c>
    </row>
    <row r="132" spans="3:12" x14ac:dyDescent="0.25">
      <c r="G132" t="s">
        <v>287</v>
      </c>
      <c r="H132" t="s">
        <v>309</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287</v>
      </c>
      <c r="H133" t="s">
        <v>309</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287</v>
      </c>
      <c r="H134" t="s">
        <v>309</v>
      </c>
      <c r="I134" t="str">
        <f t="shared" si="6"/>
        <v xml:space="preserve">ep </v>
      </c>
      <c r="J134" t="str">
        <f t="shared" si="7"/>
        <v xml:space="preserve">Edge pr. </v>
      </c>
      <c r="L134" t="str">
        <f t="shared" si="8"/>
        <v>tryrun('msedge.exe --profile-directory=""')</v>
      </c>
    </row>
    <row r="135" spans="3:12" x14ac:dyDescent="0.25">
      <c r="G135" t="s">
        <v>287</v>
      </c>
      <c r="H135" t="s">
        <v>309</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287</v>
      </c>
      <c r="H136" t="s">
        <v>309</v>
      </c>
      <c r="I136" t="str">
        <f t="shared" si="6"/>
        <v xml:space="preserve">ep </v>
      </c>
      <c r="J136" t="str">
        <f t="shared" si="7"/>
        <v xml:space="preserve">Edge pr. </v>
      </c>
      <c r="L136" t="str">
        <f t="shared" si="8"/>
        <v>tryrun('msedge.exe --profile-directory=""')</v>
      </c>
    </row>
    <row r="137" spans="3:12" x14ac:dyDescent="0.25">
      <c r="G137" t="s">
        <v>287</v>
      </c>
      <c r="H137" t="s">
        <v>309</v>
      </c>
      <c r="I137" t="str">
        <f t="shared" si="6"/>
        <v xml:space="preserve">ep </v>
      </c>
      <c r="J137" t="str">
        <f t="shared" si="7"/>
        <v xml:space="preserve">Edge pr. </v>
      </c>
      <c r="L137" t="str">
        <f t="shared" si="8"/>
        <v>tryrun('msedge.exe --profile-directory=""')</v>
      </c>
    </row>
    <row r="138" spans="3:12" x14ac:dyDescent="0.25">
      <c r="G138" t="s">
        <v>287</v>
      </c>
      <c r="H138" t="s">
        <v>309</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287</v>
      </c>
      <c r="H139" t="s">
        <v>309</v>
      </c>
      <c r="I139" t="str">
        <f t="shared" si="6"/>
        <v xml:space="preserve">ep </v>
      </c>
      <c r="J139" t="str">
        <f t="shared" si="7"/>
        <v xml:space="preserve">Edge pr. </v>
      </c>
      <c r="L139" t="str">
        <f t="shared" si="8"/>
        <v>tryrun('msedge.exe --profile-directory=""')</v>
      </c>
    </row>
    <row r="140" spans="3:12" x14ac:dyDescent="0.25">
      <c r="G140" t="s">
        <v>287</v>
      </c>
      <c r="H140" t="s">
        <v>309</v>
      </c>
      <c r="I140" t="str">
        <f t="shared" si="6"/>
        <v xml:space="preserve">ep </v>
      </c>
      <c r="J140" t="str">
        <f t="shared" si="7"/>
        <v xml:space="preserve">Edge pr. </v>
      </c>
      <c r="L140" t="str">
        <f t="shared" si="8"/>
        <v>tryrun('msedge.exe --profile-directory=""')</v>
      </c>
    </row>
    <row r="141" spans="3:12" x14ac:dyDescent="0.25">
      <c r="G141" t="s">
        <v>287</v>
      </c>
      <c r="H141" t="s">
        <v>309</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287</v>
      </c>
      <c r="H142" t="s">
        <v>309</v>
      </c>
      <c r="I142" t="str">
        <f t="shared" si="6"/>
        <v xml:space="preserve">ep </v>
      </c>
      <c r="J142" t="str">
        <f t="shared" si="7"/>
        <v xml:space="preserve">Edge pr. </v>
      </c>
      <c r="L142" t="str">
        <f t="shared" si="8"/>
        <v>tryrun('msedge.exe --profile-directory=""')</v>
      </c>
    </row>
    <row r="143" spans="3:12" x14ac:dyDescent="0.25">
      <c r="G143" t="s">
        <v>287</v>
      </c>
      <c r="H143" t="s">
        <v>309</v>
      </c>
      <c r="I143" t="str">
        <f t="shared" si="6"/>
        <v xml:space="preserve">ep </v>
      </c>
      <c r="J143" t="str">
        <f t="shared" si="7"/>
        <v xml:space="preserve">Edge pr. </v>
      </c>
      <c r="L143" t="str">
        <f t="shared" si="8"/>
        <v>tryrun('msedge.exe --profile-directory=""')</v>
      </c>
    </row>
    <row r="144" spans="3:12" x14ac:dyDescent="0.25">
      <c r="G144" t="s">
        <v>287</v>
      </c>
      <c r="H144" t="s">
        <v>309</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287</v>
      </c>
      <c r="H145" t="s">
        <v>309</v>
      </c>
      <c r="I145" t="str">
        <f t="shared" si="6"/>
        <v xml:space="preserve">ep </v>
      </c>
      <c r="J145" t="str">
        <f t="shared" si="7"/>
        <v xml:space="preserve">Edge pr. </v>
      </c>
      <c r="L145" t="str">
        <f t="shared" si="8"/>
        <v>tryrun('msedge.exe --profile-directory=""')</v>
      </c>
    </row>
    <row r="146" spans="3:12" x14ac:dyDescent="0.25">
      <c r="G146" t="s">
        <v>287</v>
      </c>
      <c r="H146" t="s">
        <v>309</v>
      </c>
      <c r="I146" t="str">
        <f t="shared" si="6"/>
        <v xml:space="preserve">ep </v>
      </c>
      <c r="J146" t="str">
        <f t="shared" si="7"/>
        <v xml:space="preserve">Edge pr. </v>
      </c>
      <c r="L146" t="str">
        <f t="shared" si="8"/>
        <v>tryrun('msedge.exe --profile-directory=""')</v>
      </c>
    </row>
    <row r="147" spans="3:12" x14ac:dyDescent="0.25">
      <c r="G147" t="s">
        <v>287</v>
      </c>
      <c r="H147" t="s">
        <v>309</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287</v>
      </c>
      <c r="H148" t="s">
        <v>309</v>
      </c>
      <c r="I148" t="str">
        <f t="shared" si="6"/>
        <v xml:space="preserve">ep </v>
      </c>
      <c r="J148" t="str">
        <f t="shared" si="7"/>
        <v xml:space="preserve">Edge pr. </v>
      </c>
      <c r="L148" t="str">
        <f t="shared" si="8"/>
        <v>tryrun('msedge.exe --profile-directory=""')</v>
      </c>
    </row>
    <row r="149" spans="3:12" x14ac:dyDescent="0.25">
      <c r="G149" t="s">
        <v>287</v>
      </c>
      <c r="H149" t="s">
        <v>309</v>
      </c>
      <c r="I149" t="str">
        <f t="shared" si="6"/>
        <v xml:space="preserve">ep </v>
      </c>
      <c r="J149" t="str">
        <f t="shared" si="7"/>
        <v xml:space="preserve">Edge pr. </v>
      </c>
      <c r="L149" t="str">
        <f t="shared" si="8"/>
        <v>tryrun('msedge.exe --profile-directory=""')</v>
      </c>
    </row>
    <row r="150" spans="3:12" x14ac:dyDescent="0.25">
      <c r="G150" t="s">
        <v>287</v>
      </c>
      <c r="H150" t="s">
        <v>309</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287</v>
      </c>
      <c r="H151" t="s">
        <v>309</v>
      </c>
      <c r="I151" t="str">
        <f t="shared" si="6"/>
        <v xml:space="preserve">ep </v>
      </c>
      <c r="J151" t="str">
        <f t="shared" si="7"/>
        <v xml:space="preserve">Edge pr. </v>
      </c>
      <c r="L151" t="str">
        <f t="shared" si="8"/>
        <v>tryrun('msedge.exe --profile-directory=""')</v>
      </c>
    </row>
    <row r="152" spans="3:12" x14ac:dyDescent="0.25">
      <c r="G152" t="s">
        <v>287</v>
      </c>
      <c r="H152" t="s">
        <v>309</v>
      </c>
      <c r="I152" t="str">
        <f t="shared" si="6"/>
        <v xml:space="preserve">ep </v>
      </c>
      <c r="J152" t="str">
        <f t="shared" si="7"/>
        <v xml:space="preserve">Edge pr. </v>
      </c>
      <c r="L152" t="str">
        <f t="shared" si="8"/>
        <v>tryrun('msedge.exe --profile-directory=""')</v>
      </c>
    </row>
    <row r="153" spans="3:12" x14ac:dyDescent="0.25">
      <c r="G153" t="s">
        <v>287</v>
      </c>
      <c r="H153" t="s">
        <v>309</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287</v>
      </c>
      <c r="H154" t="s">
        <v>309</v>
      </c>
      <c r="I154" t="str">
        <f t="shared" si="6"/>
        <v xml:space="preserve">ep </v>
      </c>
      <c r="J154" t="str">
        <f t="shared" si="7"/>
        <v xml:space="preserve">Edge pr. </v>
      </c>
      <c r="L154" t="str">
        <f t="shared" si="8"/>
        <v>tryrun('msedge.exe --profile-directory=""')</v>
      </c>
    </row>
    <row r="155" spans="3:12" x14ac:dyDescent="0.25">
      <c r="G155" t="s">
        <v>287</v>
      </c>
      <c r="H155" t="s">
        <v>309</v>
      </c>
      <c r="I155" t="str">
        <f t="shared" si="6"/>
        <v xml:space="preserve">ep </v>
      </c>
      <c r="J155" t="str">
        <f t="shared" si="7"/>
        <v xml:space="preserve">Edge pr. </v>
      </c>
      <c r="L155" t="str">
        <f t="shared" si="8"/>
        <v>tryrun('msedge.exe --profile-directory=""')</v>
      </c>
    </row>
    <row r="156" spans="3:12" x14ac:dyDescent="0.25">
      <c r="G156" t="s">
        <v>287</v>
      </c>
      <c r="H156" t="s">
        <v>309</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287</v>
      </c>
      <c r="H157" t="s">
        <v>309</v>
      </c>
      <c r="I157" t="str">
        <f t="shared" si="6"/>
        <v xml:space="preserve">ep </v>
      </c>
      <c r="J157" t="str">
        <f t="shared" si="7"/>
        <v xml:space="preserve">Edge pr. </v>
      </c>
      <c r="L157" t="str">
        <f t="shared" si="8"/>
        <v>tryrun('msedge.exe --profile-directory=""')</v>
      </c>
    </row>
    <row r="158" spans="3:12" x14ac:dyDescent="0.25">
      <c r="G158" t="s">
        <v>287</v>
      </c>
      <c r="H158" t="s">
        <v>309</v>
      </c>
      <c r="I158" t="str">
        <f t="shared" si="6"/>
        <v xml:space="preserve">ep </v>
      </c>
      <c r="J158" t="str">
        <f t="shared" si="7"/>
        <v xml:space="preserve">Edge pr. </v>
      </c>
      <c r="L158" t="str">
        <f t="shared" si="8"/>
        <v>tryrun('msedge.exe --profile-directory=""')</v>
      </c>
    </row>
    <row r="159" spans="3:12" x14ac:dyDescent="0.25">
      <c r="G159" t="s">
        <v>287</v>
      </c>
      <c r="H159" t="s">
        <v>309</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287</v>
      </c>
      <c r="H160" t="s">
        <v>309</v>
      </c>
      <c r="I160" t="str">
        <f t="shared" si="6"/>
        <v xml:space="preserve">ep </v>
      </c>
      <c r="J160" t="str">
        <f t="shared" si="7"/>
        <v xml:space="preserve">Edge pr. </v>
      </c>
      <c r="L160" t="str">
        <f t="shared" si="8"/>
        <v>tryrun('msedge.exe --profile-directory=""')</v>
      </c>
    </row>
    <row r="161" spans="3:12" x14ac:dyDescent="0.25">
      <c r="G161" t="s">
        <v>287</v>
      </c>
      <c r="H161" t="s">
        <v>309</v>
      </c>
      <c r="I161" t="str">
        <f t="shared" si="6"/>
        <v xml:space="preserve">ep </v>
      </c>
      <c r="J161" t="str">
        <f t="shared" si="7"/>
        <v xml:space="preserve">Edge pr. </v>
      </c>
      <c r="L161" t="str">
        <f t="shared" si="8"/>
        <v>tryrun('msedge.exe --profile-directory=""')</v>
      </c>
    </row>
    <row r="162" spans="3:12" x14ac:dyDescent="0.25">
      <c r="G162" t="s">
        <v>287</v>
      </c>
      <c r="H162" t="s">
        <v>309</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287</v>
      </c>
      <c r="H163" t="s">
        <v>309</v>
      </c>
      <c r="I163" t="str">
        <f t="shared" si="6"/>
        <v xml:space="preserve">ep </v>
      </c>
      <c r="J163" t="str">
        <f t="shared" si="7"/>
        <v xml:space="preserve">Edge pr. </v>
      </c>
      <c r="L163" t="str">
        <f t="shared" si="8"/>
        <v>tryrun('msedge.exe --profile-directory=""')</v>
      </c>
    </row>
    <row r="164" spans="3:12" x14ac:dyDescent="0.25">
      <c r="G164" t="s">
        <v>287</v>
      </c>
      <c r="H164" t="s">
        <v>309</v>
      </c>
      <c r="I164" t="str">
        <f t="shared" si="6"/>
        <v xml:space="preserve">ep </v>
      </c>
      <c r="J164" t="str">
        <f t="shared" si="7"/>
        <v xml:space="preserve">Edge pr. </v>
      </c>
      <c r="L164" t="str">
        <f t="shared" si="8"/>
        <v>tryrun('msedge.exe --profile-directory=""')</v>
      </c>
    </row>
    <row r="165" spans="3:12" x14ac:dyDescent="0.25">
      <c r="G165" t="s">
        <v>287</v>
      </c>
      <c r="H165" t="s">
        <v>309</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287</v>
      </c>
      <c r="H166" t="s">
        <v>309</v>
      </c>
      <c r="I166" t="str">
        <f t="shared" si="6"/>
        <v xml:space="preserve">ep </v>
      </c>
      <c r="J166" t="str">
        <f t="shared" si="7"/>
        <v xml:space="preserve">Edge pr. </v>
      </c>
      <c r="L166" t="str">
        <f t="shared" si="8"/>
        <v>tryrun('msedge.exe --profile-directory=""')</v>
      </c>
    </row>
    <row r="167" spans="3:12" x14ac:dyDescent="0.25">
      <c r="G167" t="s">
        <v>287</v>
      </c>
      <c r="H167" t="s">
        <v>309</v>
      </c>
      <c r="I167" t="str">
        <f t="shared" si="6"/>
        <v xml:space="preserve">ep </v>
      </c>
      <c r="J167" t="str">
        <f t="shared" si="7"/>
        <v xml:space="preserve">Edge pr. </v>
      </c>
      <c r="L167" t="str">
        <f t="shared" si="8"/>
        <v>tryrun('msedge.exe --profile-directory=""')</v>
      </c>
    </row>
    <row r="168" spans="3:12" x14ac:dyDescent="0.25">
      <c r="G168" t="s">
        <v>287</v>
      </c>
      <c r="H168" t="s">
        <v>309</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287</v>
      </c>
      <c r="H169" t="s">
        <v>309</v>
      </c>
      <c r="I169" t="str">
        <f t="shared" si="6"/>
        <v xml:space="preserve">ep </v>
      </c>
      <c r="J169" t="str">
        <f t="shared" si="7"/>
        <v xml:space="preserve">Edge pr. </v>
      </c>
      <c r="L169" t="str">
        <f t="shared" si="8"/>
        <v>tryrun('msedge.exe --profile-directory=""')</v>
      </c>
    </row>
    <row r="170" spans="3:12" x14ac:dyDescent="0.25">
      <c r="G170" t="s">
        <v>287</v>
      </c>
      <c r="H170" t="s">
        <v>309</v>
      </c>
      <c r="I170" t="str">
        <f t="shared" si="6"/>
        <v xml:space="preserve">ep </v>
      </c>
      <c r="J170" t="str">
        <f t="shared" si="7"/>
        <v xml:space="preserve">Edge pr. </v>
      </c>
      <c r="L170" t="str">
        <f t="shared" si="8"/>
        <v>tryrun('msedge.exe --profile-directory=""')</v>
      </c>
    </row>
    <row r="171" spans="3:12" x14ac:dyDescent="0.25">
      <c r="G171" t="s">
        <v>287</v>
      </c>
      <c r="H171" t="s">
        <v>309</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287</v>
      </c>
      <c r="H172" t="s">
        <v>309</v>
      </c>
      <c r="I172" t="str">
        <f t="shared" si="6"/>
        <v xml:space="preserve">ep </v>
      </c>
      <c r="J172" t="str">
        <f t="shared" si="7"/>
        <v xml:space="preserve">Edge pr. </v>
      </c>
      <c r="L172" t="str">
        <f t="shared" si="8"/>
        <v>tryrun('msedge.exe --profile-directory=""')</v>
      </c>
    </row>
    <row r="173" spans="3:12" x14ac:dyDescent="0.25">
      <c r="G173" t="s">
        <v>287</v>
      </c>
      <c r="H173" t="s">
        <v>309</v>
      </c>
      <c r="I173" t="str">
        <f t="shared" si="6"/>
        <v xml:space="preserve">ep </v>
      </c>
      <c r="J173" t="str">
        <f t="shared" si="7"/>
        <v xml:space="preserve">Edge pr. </v>
      </c>
      <c r="L173" t="str">
        <f t="shared" si="8"/>
        <v>tryrun('msedge.exe --profile-directory=""')</v>
      </c>
    </row>
    <row r="174" spans="3:12" x14ac:dyDescent="0.25">
      <c r="G174" t="s">
        <v>287</v>
      </c>
      <c r="H174" t="s">
        <v>309</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287</v>
      </c>
      <c r="H175" t="s">
        <v>309</v>
      </c>
      <c r="I175" t="str">
        <f t="shared" si="6"/>
        <v xml:space="preserve">ep </v>
      </c>
      <c r="J175" t="str">
        <f t="shared" si="7"/>
        <v xml:space="preserve">Edge pr. </v>
      </c>
      <c r="L175" t="str">
        <f t="shared" si="8"/>
        <v>tryrun('msedge.exe --profile-directory=""')</v>
      </c>
    </row>
    <row r="176" spans="3:12" x14ac:dyDescent="0.25">
      <c r="G176" t="s">
        <v>287</v>
      </c>
      <c r="H176" t="s">
        <v>309</v>
      </c>
      <c r="I176" t="str">
        <f t="shared" si="6"/>
        <v xml:space="preserve">ep </v>
      </c>
      <c r="J176" t="str">
        <f t="shared" si="7"/>
        <v xml:space="preserve">Edge pr. </v>
      </c>
      <c r="L176" t="str">
        <f t="shared" si="8"/>
        <v>tryrun('msedge.exe --profile-directory=""')</v>
      </c>
    </row>
    <row r="177" spans="3:12" x14ac:dyDescent="0.25">
      <c r="G177" t="s">
        <v>287</v>
      </c>
      <c r="H177" t="s">
        <v>309</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287</v>
      </c>
      <c r="H178" t="s">
        <v>309</v>
      </c>
      <c r="I178" t="str">
        <f t="shared" si="6"/>
        <v xml:space="preserve">ep </v>
      </c>
      <c r="J178" t="str">
        <f t="shared" si="7"/>
        <v xml:space="preserve">Edge pr. </v>
      </c>
      <c r="L178" t="str">
        <f t="shared" si="8"/>
        <v>tryrun('msedge.exe --profile-directory=""')</v>
      </c>
    </row>
    <row r="179" spans="3:12" x14ac:dyDescent="0.25">
      <c r="G179" t="s">
        <v>287</v>
      </c>
      <c r="H179" t="s">
        <v>309</v>
      </c>
      <c r="I179" t="str">
        <f t="shared" si="6"/>
        <v xml:space="preserve">ep </v>
      </c>
      <c r="J179" t="str">
        <f t="shared" si="7"/>
        <v xml:space="preserve">Edge pr. </v>
      </c>
      <c r="L179" t="str">
        <f t="shared" si="8"/>
        <v>tryrun('msedge.exe --profile-directory=""')</v>
      </c>
    </row>
    <row r="180" spans="3:12" x14ac:dyDescent="0.25">
      <c r="G180" t="s">
        <v>287</v>
      </c>
      <c r="H180" t="s">
        <v>309</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287</v>
      </c>
      <c r="H181" t="s">
        <v>309</v>
      </c>
      <c r="I181" t="str">
        <f t="shared" si="6"/>
        <v xml:space="preserve">ep </v>
      </c>
      <c r="J181" t="str">
        <f t="shared" si="7"/>
        <v xml:space="preserve">Edge pr. </v>
      </c>
      <c r="L181" t="str">
        <f t="shared" si="8"/>
        <v>tryrun('msedge.exe --profile-directory=""')</v>
      </c>
    </row>
    <row r="182" spans="3:12" x14ac:dyDescent="0.25">
      <c r="G182" t="s">
        <v>287</v>
      </c>
      <c r="H182" t="s">
        <v>309</v>
      </c>
      <c r="I182" t="str">
        <f t="shared" si="6"/>
        <v xml:space="preserve">ep </v>
      </c>
      <c r="J182" t="str">
        <f t="shared" si="7"/>
        <v xml:space="preserve">Edge pr. </v>
      </c>
      <c r="L182" t="str">
        <f t="shared" si="8"/>
        <v>tryrun('msedge.exe --profile-directory=""')</v>
      </c>
    </row>
    <row r="183" spans="3:12" x14ac:dyDescent="0.25">
      <c r="G183" t="s">
        <v>287</v>
      </c>
      <c r="H183" t="s">
        <v>309</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287</v>
      </c>
      <c r="H184" t="s">
        <v>309</v>
      </c>
      <c r="I184" t="str">
        <f t="shared" si="6"/>
        <v xml:space="preserve">ep </v>
      </c>
      <c r="J184" t="str">
        <f t="shared" si="7"/>
        <v xml:space="preserve">Edge pr. </v>
      </c>
      <c r="L184" t="str">
        <f t="shared" si="8"/>
        <v>tryrun('msedge.exe --profile-directory=""')</v>
      </c>
    </row>
    <row r="185" spans="3:12" x14ac:dyDescent="0.25">
      <c r="G185" t="s">
        <v>287</v>
      </c>
      <c r="H185" t="s">
        <v>309</v>
      </c>
      <c r="I185" t="str">
        <f t="shared" si="6"/>
        <v xml:space="preserve">ep </v>
      </c>
      <c r="J185" t="str">
        <f t="shared" si="7"/>
        <v xml:space="preserve">Edge pr. </v>
      </c>
      <c r="L185" t="str">
        <f t="shared" si="8"/>
        <v>tryrun('msedge.exe --profile-directory=""')</v>
      </c>
    </row>
    <row r="186" spans="3:12" x14ac:dyDescent="0.25">
      <c r="G186" t="s">
        <v>287</v>
      </c>
      <c r="H186" t="s">
        <v>309</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287</v>
      </c>
      <c r="H187" t="s">
        <v>309</v>
      </c>
      <c r="I187" t="str">
        <f t="shared" si="6"/>
        <v xml:space="preserve">ep </v>
      </c>
      <c r="J187" t="str">
        <f t="shared" si="7"/>
        <v xml:space="preserve">Edge pr. </v>
      </c>
      <c r="L187" t="str">
        <f t="shared" si="8"/>
        <v>tryrun('msedge.exe --profile-directory=""')</v>
      </c>
    </row>
    <row r="188" spans="3:12" x14ac:dyDescent="0.25">
      <c r="G188" t="s">
        <v>287</v>
      </c>
      <c r="H188" t="s">
        <v>309</v>
      </c>
      <c r="I188" t="str">
        <f t="shared" si="6"/>
        <v xml:space="preserve">ep </v>
      </c>
      <c r="J188" t="str">
        <f t="shared" si="7"/>
        <v xml:space="preserve">Edge pr. </v>
      </c>
      <c r="L188" t="str">
        <f t="shared" si="8"/>
        <v>tryrun('msedge.exe --profile-directory=""')</v>
      </c>
    </row>
    <row r="189" spans="3:12" x14ac:dyDescent="0.25">
      <c r="G189" t="s">
        <v>287</v>
      </c>
      <c r="H189" t="s">
        <v>309</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287</v>
      </c>
      <c r="H190" t="s">
        <v>309</v>
      </c>
      <c r="I190" t="str">
        <f t="shared" si="6"/>
        <v xml:space="preserve">ep </v>
      </c>
      <c r="J190" t="str">
        <f t="shared" si="7"/>
        <v xml:space="preserve">Edge pr. </v>
      </c>
      <c r="L190" t="str">
        <f t="shared" si="8"/>
        <v>tryrun('msedge.exe --profile-directory=""')</v>
      </c>
    </row>
    <row r="191" spans="3:12" x14ac:dyDescent="0.25">
      <c r="G191" t="s">
        <v>287</v>
      </c>
      <c r="H191" t="s">
        <v>309</v>
      </c>
      <c r="I191" t="str">
        <f t="shared" si="6"/>
        <v xml:space="preserve">ep </v>
      </c>
      <c r="J191" t="str">
        <f t="shared" si="7"/>
        <v xml:space="preserve">Edge pr. </v>
      </c>
      <c r="L191" t="str">
        <f t="shared" si="8"/>
        <v>tryrun('msedge.exe --profile-directory=""')</v>
      </c>
    </row>
    <row r="192" spans="3:12" x14ac:dyDescent="0.25">
      <c r="G192" t="s">
        <v>287</v>
      </c>
      <c r="H192" t="s">
        <v>309</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287</v>
      </c>
      <c r="H193" t="s">
        <v>309</v>
      </c>
      <c r="I193" t="str">
        <f t="shared" si="6"/>
        <v xml:space="preserve">ep </v>
      </c>
      <c r="J193" t="str">
        <f t="shared" si="7"/>
        <v xml:space="preserve">Edge pr. </v>
      </c>
      <c r="L193" t="str">
        <f t="shared" si="8"/>
        <v>tryrun('msedge.exe --profile-directory=""')</v>
      </c>
    </row>
    <row r="194" spans="3:12" x14ac:dyDescent="0.25">
      <c r="G194" t="s">
        <v>287</v>
      </c>
      <c r="H194" t="s">
        <v>309</v>
      </c>
      <c r="I194" t="str">
        <f t="shared" si="6"/>
        <v xml:space="preserve">ep </v>
      </c>
      <c r="J194" t="str">
        <f t="shared" si="7"/>
        <v xml:space="preserve">Edge pr. </v>
      </c>
      <c r="L194" t="str">
        <f t="shared" si="8"/>
        <v>tryrun('msedge.exe --profile-directory=""')</v>
      </c>
    </row>
    <row r="195" spans="3:12" x14ac:dyDescent="0.25">
      <c r="G195" t="s">
        <v>287</v>
      </c>
      <c r="H195" t="s">
        <v>309</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287</v>
      </c>
      <c r="H196" t="s">
        <v>309</v>
      </c>
      <c r="I196" t="str">
        <f t="shared" si="6"/>
        <v xml:space="preserve">ep </v>
      </c>
      <c r="J196" t="str">
        <f t="shared" si="7"/>
        <v xml:space="preserve">Edge pr. </v>
      </c>
      <c r="L196" t="str">
        <f t="shared" si="8"/>
        <v>tryrun('msedge.exe --profile-directory=""')</v>
      </c>
    </row>
    <row r="197" spans="3:12" x14ac:dyDescent="0.25">
      <c r="G197" t="s">
        <v>287</v>
      </c>
      <c r="H197" t="s">
        <v>309</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287</v>
      </c>
      <c r="H198" t="s">
        <v>309</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287</v>
      </c>
      <c r="H199" t="s">
        <v>309</v>
      </c>
      <c r="I199" t="str">
        <f t="shared" si="9"/>
        <v xml:space="preserve">ep </v>
      </c>
      <c r="J199" t="str">
        <f t="shared" si="10"/>
        <v xml:space="preserve">Edge pr. </v>
      </c>
      <c r="L199" t="str">
        <f t="shared" si="11"/>
        <v>tryrun('msedge.exe --profile-directory=""')</v>
      </c>
    </row>
    <row r="200" spans="3:12" x14ac:dyDescent="0.25">
      <c r="G200" t="s">
        <v>287</v>
      </c>
      <c r="H200" t="s">
        <v>309</v>
      </c>
      <c r="I200" t="str">
        <f t="shared" si="9"/>
        <v xml:space="preserve">ep </v>
      </c>
      <c r="J200" t="str">
        <f t="shared" si="10"/>
        <v xml:space="preserve">Edge pr. </v>
      </c>
      <c r="L200" t="str">
        <f t="shared" si="11"/>
        <v>tryrun('msedge.exe --profile-directory=""')</v>
      </c>
    </row>
    <row r="201" spans="3:12" x14ac:dyDescent="0.25">
      <c r="G201" t="s">
        <v>287</v>
      </c>
      <c r="H201" t="s">
        <v>309</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287</v>
      </c>
      <c r="H202" t="s">
        <v>309</v>
      </c>
      <c r="I202" t="str">
        <f t="shared" si="9"/>
        <v xml:space="preserve">ep </v>
      </c>
      <c r="J202" t="str">
        <f t="shared" si="10"/>
        <v xml:space="preserve">Edge pr. </v>
      </c>
      <c r="L202" t="str">
        <f t="shared" si="11"/>
        <v>tryrun('msedge.exe --profile-directory=""')</v>
      </c>
    </row>
    <row r="203" spans="3:12" x14ac:dyDescent="0.25">
      <c r="G203" t="s">
        <v>287</v>
      </c>
      <c r="H203" t="s">
        <v>309</v>
      </c>
      <c r="I203" t="str">
        <f t="shared" si="9"/>
        <v xml:space="preserve">ep </v>
      </c>
      <c r="J203" t="str">
        <f t="shared" si="10"/>
        <v xml:space="preserve">Edge pr. </v>
      </c>
      <c r="L203" t="str">
        <f t="shared" si="11"/>
        <v>tryrun('msedge.exe --profile-directory=""')</v>
      </c>
    </row>
    <row r="204" spans="3:12" x14ac:dyDescent="0.25">
      <c r="G204" t="s">
        <v>287</v>
      </c>
      <c r="H204" t="s">
        <v>309</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287</v>
      </c>
      <c r="H205" t="s">
        <v>309</v>
      </c>
      <c r="I205" t="str">
        <f t="shared" si="9"/>
        <v xml:space="preserve">ep </v>
      </c>
      <c r="J205" t="str">
        <f t="shared" si="10"/>
        <v xml:space="preserve">Edge pr. </v>
      </c>
      <c r="L205" t="str">
        <f t="shared" si="11"/>
        <v>tryrun('msedge.exe --profile-directory=""')</v>
      </c>
    </row>
    <row r="206" spans="3:12" x14ac:dyDescent="0.25">
      <c r="G206" t="s">
        <v>287</v>
      </c>
      <c r="H206" t="s">
        <v>309</v>
      </c>
      <c r="I206" t="str">
        <f t="shared" si="9"/>
        <v xml:space="preserve">ep </v>
      </c>
      <c r="J206" t="str">
        <f t="shared" si="10"/>
        <v xml:space="preserve">Edge pr. </v>
      </c>
      <c r="L206" t="str">
        <f t="shared" si="11"/>
        <v>tryrun('msedge.exe --profile-directory=""')</v>
      </c>
    </row>
    <row r="207" spans="3:12" x14ac:dyDescent="0.25">
      <c r="G207" t="s">
        <v>287</v>
      </c>
      <c r="H207" t="s">
        <v>309</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287</v>
      </c>
      <c r="H208" t="s">
        <v>309</v>
      </c>
      <c r="I208" t="str">
        <f t="shared" si="9"/>
        <v xml:space="preserve">ep </v>
      </c>
      <c r="J208" t="str">
        <f t="shared" si="10"/>
        <v xml:space="preserve">Edge pr. </v>
      </c>
      <c r="L208" t="str">
        <f t="shared" si="11"/>
        <v>tryrun('msedge.exe --profile-directory=""')</v>
      </c>
    </row>
    <row r="209" spans="3:12" x14ac:dyDescent="0.25">
      <c r="G209" t="s">
        <v>287</v>
      </c>
      <c r="H209" t="s">
        <v>309</v>
      </c>
      <c r="I209" t="str">
        <f t="shared" si="9"/>
        <v xml:space="preserve">ep </v>
      </c>
      <c r="J209" t="str">
        <f t="shared" si="10"/>
        <v xml:space="preserve">Edge pr. </v>
      </c>
      <c r="L209" t="str">
        <f t="shared" si="11"/>
        <v>tryrun('msedge.exe --profile-directory=""')</v>
      </c>
    </row>
    <row r="210" spans="3:12" x14ac:dyDescent="0.25">
      <c r="G210" t="s">
        <v>287</v>
      </c>
      <c r="H210" t="s">
        <v>309</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287</v>
      </c>
      <c r="H211" t="s">
        <v>309</v>
      </c>
      <c r="I211" t="str">
        <f t="shared" si="9"/>
        <v xml:space="preserve">ep </v>
      </c>
      <c r="J211" t="str">
        <f t="shared" si="10"/>
        <v xml:space="preserve">Edge pr. </v>
      </c>
      <c r="L211" t="str">
        <f t="shared" si="11"/>
        <v>tryrun('msedge.exe --profile-directory=""')</v>
      </c>
    </row>
    <row r="212" spans="3:12" x14ac:dyDescent="0.25">
      <c r="G212" t="s">
        <v>287</v>
      </c>
      <c r="H212" t="s">
        <v>309</v>
      </c>
      <c r="I212" t="str">
        <f t="shared" si="9"/>
        <v xml:space="preserve">ep </v>
      </c>
      <c r="J212" t="str">
        <f t="shared" si="10"/>
        <v xml:space="preserve">Edge pr. </v>
      </c>
      <c r="L212" t="str">
        <f t="shared" si="11"/>
        <v>tryrun('msedge.exe --profile-directory=""')</v>
      </c>
    </row>
    <row r="213" spans="3:12" x14ac:dyDescent="0.25">
      <c r="G213" t="s">
        <v>287</v>
      </c>
      <c r="H213" t="s">
        <v>309</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287</v>
      </c>
      <c r="H214" t="s">
        <v>309</v>
      </c>
      <c r="I214" t="str">
        <f t="shared" si="9"/>
        <v xml:space="preserve">ep </v>
      </c>
      <c r="J214" t="str">
        <f t="shared" si="10"/>
        <v xml:space="preserve">Edge pr. </v>
      </c>
      <c r="L214" t="str">
        <f t="shared" si="11"/>
        <v>tryrun('msedge.exe --profile-directory=""')</v>
      </c>
    </row>
    <row r="215" spans="3:12" x14ac:dyDescent="0.25">
      <c r="G215" t="s">
        <v>287</v>
      </c>
      <c r="H215" t="s">
        <v>309</v>
      </c>
      <c r="I215" t="str">
        <f t="shared" si="9"/>
        <v xml:space="preserve">ep </v>
      </c>
      <c r="J215" t="str">
        <f t="shared" si="10"/>
        <v xml:space="preserve">Edge pr. </v>
      </c>
      <c r="L215" t="str">
        <f t="shared" si="11"/>
        <v>tryrun('msedge.exe --profile-directory=""')</v>
      </c>
    </row>
    <row r="216" spans="3:12" x14ac:dyDescent="0.25">
      <c r="G216" t="s">
        <v>287</v>
      </c>
      <c r="H216" t="s">
        <v>309</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287</v>
      </c>
      <c r="H217" t="s">
        <v>309</v>
      </c>
      <c r="I217" t="str">
        <f t="shared" si="9"/>
        <v xml:space="preserve">ep </v>
      </c>
      <c r="J217" t="str">
        <f t="shared" si="10"/>
        <v xml:space="preserve">Edge pr. </v>
      </c>
      <c r="L217" t="str">
        <f t="shared" si="11"/>
        <v>tryrun('msedge.exe --profile-directory=""')</v>
      </c>
    </row>
    <row r="218" spans="3:12" x14ac:dyDescent="0.25">
      <c r="G218" t="s">
        <v>287</v>
      </c>
      <c r="H218" t="s">
        <v>309</v>
      </c>
      <c r="I218" t="str">
        <f t="shared" si="9"/>
        <v xml:space="preserve">ep </v>
      </c>
      <c r="J218" t="str">
        <f t="shared" si="10"/>
        <v xml:space="preserve">Edge pr. </v>
      </c>
      <c r="L218" t="str">
        <f t="shared" si="11"/>
        <v>tryrun('msedge.exe --profile-directory=""')</v>
      </c>
    </row>
    <row r="219" spans="3:12" x14ac:dyDescent="0.25">
      <c r="G219" t="s">
        <v>287</v>
      </c>
      <c r="H219" t="s">
        <v>309</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287</v>
      </c>
      <c r="H220" t="s">
        <v>309</v>
      </c>
      <c r="I220" t="str">
        <f t="shared" si="9"/>
        <v xml:space="preserve">ep </v>
      </c>
      <c r="J220" t="str">
        <f t="shared" si="10"/>
        <v xml:space="preserve">Edge pr. </v>
      </c>
      <c r="L220" t="str">
        <f t="shared" si="11"/>
        <v>tryrun('msedge.exe --profile-directory=""')</v>
      </c>
    </row>
    <row r="221" spans="3:12" x14ac:dyDescent="0.25">
      <c r="G221" t="s">
        <v>287</v>
      </c>
      <c r="H221" t="s">
        <v>309</v>
      </c>
      <c r="I221" t="str">
        <f t="shared" si="9"/>
        <v xml:space="preserve">ep </v>
      </c>
      <c r="J221" t="str">
        <f t="shared" si="10"/>
        <v xml:space="preserve">Edge pr. </v>
      </c>
      <c r="L221" t="str">
        <f t="shared" si="11"/>
        <v>tryrun('msedge.exe --profile-directory=""')</v>
      </c>
    </row>
    <row r="222" spans="3:12" x14ac:dyDescent="0.25">
      <c r="G222" t="s">
        <v>287</v>
      </c>
      <c r="H222" t="s">
        <v>309</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287</v>
      </c>
      <c r="H223" t="s">
        <v>309</v>
      </c>
      <c r="I223" t="str">
        <f t="shared" si="9"/>
        <v xml:space="preserve">ep </v>
      </c>
      <c r="J223" t="str">
        <f t="shared" si="10"/>
        <v xml:space="preserve">Edge pr. </v>
      </c>
      <c r="L223" t="str">
        <f t="shared" si="11"/>
        <v>tryrun('msedge.exe --profile-directory=""')</v>
      </c>
    </row>
    <row r="224" spans="3:12" x14ac:dyDescent="0.25">
      <c r="G224" t="s">
        <v>287</v>
      </c>
      <c r="H224" t="s">
        <v>309</v>
      </c>
      <c r="I224" t="str">
        <f t="shared" si="9"/>
        <v xml:space="preserve">ep </v>
      </c>
      <c r="J224" t="str">
        <f t="shared" si="10"/>
        <v xml:space="preserve">Edge pr. </v>
      </c>
      <c r="L224" t="str">
        <f t="shared" si="11"/>
        <v>tryrun('msedge.exe --profile-directory=""')</v>
      </c>
    </row>
    <row r="225" spans="3:12" x14ac:dyDescent="0.25">
      <c r="G225" t="s">
        <v>287</v>
      </c>
      <c r="H225" t="s">
        <v>309</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9" sqref="B19:E19"/>
    </sheetView>
  </sheetViews>
  <sheetFormatPr defaultColWidth="13.5" defaultRowHeight="15" x14ac:dyDescent="0.25"/>
  <cols>
    <col min="1" max="1" width="9.75" style="33" customWidth="1"/>
    <col min="2" max="2" width="13.5" style="33"/>
    <col min="3" max="3" width="8" style="33" customWidth="1"/>
    <col min="4" max="4" width="8.75" style="33" customWidth="1"/>
    <col min="5" max="5" width="89.875" style="33" customWidth="1"/>
    <col min="6" max="6" width="68.25" style="33" customWidth="1"/>
    <col min="7" max="16384" width="13.5" style="33"/>
  </cols>
  <sheetData>
    <row r="2" spans="1:5" ht="75" x14ac:dyDescent="0.25">
      <c r="B2" s="32" t="s">
        <v>209</v>
      </c>
      <c r="E2" s="34" t="s">
        <v>219</v>
      </c>
    </row>
    <row r="3" spans="1:5" ht="18" customHeight="1" x14ac:dyDescent="0.25">
      <c r="A3" s="35"/>
    </row>
    <row r="4" spans="1:5" x14ac:dyDescent="0.25">
      <c r="A4" s="35"/>
      <c r="B4" s="32" t="s">
        <v>0</v>
      </c>
      <c r="E4" s="33" t="s">
        <v>211</v>
      </c>
    </row>
    <row r="5" spans="1:5" x14ac:dyDescent="0.25">
      <c r="A5" s="35"/>
    </row>
    <row r="6" spans="1:5" ht="105" customHeight="1" x14ac:dyDescent="0.25">
      <c r="A6" s="35"/>
      <c r="B6" s="32" t="s">
        <v>202</v>
      </c>
      <c r="E6" s="34" t="s">
        <v>210</v>
      </c>
    </row>
    <row r="7" spans="1:5" ht="18" customHeight="1" x14ac:dyDescent="0.25">
      <c r="A7" s="35"/>
    </row>
    <row r="8" spans="1:5" ht="18" customHeight="1" x14ac:dyDescent="0.25">
      <c r="A8" s="35"/>
      <c r="B8" s="32" t="s">
        <v>1</v>
      </c>
      <c r="E8" s="33" t="s">
        <v>212</v>
      </c>
    </row>
    <row r="9" spans="1:5" ht="18" customHeight="1" x14ac:dyDescent="0.25">
      <c r="A9" s="35"/>
    </row>
    <row r="10" spans="1:5" ht="18" customHeight="1" x14ac:dyDescent="0.25">
      <c r="A10" s="35"/>
      <c r="B10" s="32" t="s">
        <v>50</v>
      </c>
      <c r="E10" s="33" t="s">
        <v>213</v>
      </c>
    </row>
    <row r="11" spans="1:5" ht="18" customHeight="1" x14ac:dyDescent="0.25">
      <c r="A11" s="35"/>
    </row>
    <row r="12" spans="1:5" ht="18" customHeight="1" x14ac:dyDescent="0.25">
      <c r="B12" s="32" t="s">
        <v>183</v>
      </c>
      <c r="E12" s="33" t="s">
        <v>206</v>
      </c>
    </row>
    <row r="13" spans="1:5" ht="8.25" customHeight="1" x14ac:dyDescent="0.25"/>
    <row r="14" spans="1:5" ht="18" customHeight="1" x14ac:dyDescent="0.25">
      <c r="B14" s="36" t="s">
        <v>126</v>
      </c>
      <c r="E14" s="34" t="s">
        <v>215</v>
      </c>
    </row>
    <row r="15" spans="1:5" ht="18" customHeight="1" x14ac:dyDescent="0.25">
      <c r="B15" s="33" t="s">
        <v>66</v>
      </c>
      <c r="C15" s="33" t="s">
        <v>214</v>
      </c>
      <c r="E15" s="33" t="s">
        <v>168</v>
      </c>
    </row>
    <row r="16" spans="1:5" ht="45" x14ac:dyDescent="0.25">
      <c r="B16" s="33" t="s">
        <v>57</v>
      </c>
      <c r="C16" s="33" t="s">
        <v>60</v>
      </c>
      <c r="E16" s="34" t="s">
        <v>216</v>
      </c>
    </row>
    <row r="17" spans="2:5" ht="18" customHeight="1" x14ac:dyDescent="0.25">
      <c r="B17" s="33" t="s">
        <v>145</v>
      </c>
      <c r="C17" s="33" t="s">
        <v>185</v>
      </c>
      <c r="E17" s="33" t="s">
        <v>207</v>
      </c>
    </row>
    <row r="18" spans="2:5" ht="18" customHeight="1" x14ac:dyDescent="0.25">
      <c r="B18" s="33" t="s">
        <v>184</v>
      </c>
      <c r="C18" s="33" t="s">
        <v>186</v>
      </c>
      <c r="E18" s="33" t="s">
        <v>208</v>
      </c>
    </row>
    <row r="19" spans="2:5" ht="45" x14ac:dyDescent="0.25">
      <c r="B19" s="33" t="s">
        <v>5</v>
      </c>
      <c r="C19" s="33" t="s">
        <v>2</v>
      </c>
      <c r="E19" s="34" t="s">
        <v>217</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Shortcuts</vt:lpstr>
      <vt:lpstr>Edge profiles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2024-03-26T14:35:29Z</cp:lastPrinted>
  <dcterms:created xsi:type="dcterms:W3CDTF">2015-06-05T18:17:20Z</dcterms:created>
  <dcterms:modified xsi:type="dcterms:W3CDTF">2024-03-26T15:20:53Z</dcterms:modified>
</cp:coreProperties>
</file>